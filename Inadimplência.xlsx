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breno.duarte\Desktop\CloneGit\"/>
    </mc:Choice>
  </mc:AlternateContent>
  <xr:revisionPtr revIDLastSave="0" documentId="13_ncr:1_{BC102497-B41B-49F6-AAC6-6A92A5F88CC1}" xr6:coauthVersionLast="47" xr6:coauthVersionMax="47" xr10:uidLastSave="{00000000-0000-0000-0000-000000000000}"/>
  <bookViews>
    <workbookView xWindow="-24120" yWindow="-720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Sheet1!$A$1:$F$621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2" i="1"/>
</calcChain>
</file>

<file path=xl/sharedStrings.xml><?xml version="1.0" encoding="utf-8"?>
<sst xmlns="http://schemas.openxmlformats.org/spreadsheetml/2006/main" count="1553" uniqueCount="285">
  <si>
    <t>Empreendimento</t>
  </si>
  <si>
    <t>Luc</t>
  </si>
  <si>
    <t>Inadimplência</t>
  </si>
  <si>
    <t>CENTRO UNIVERSITÁRIO UNIHORIZONTES</t>
  </si>
  <si>
    <t>1001A</t>
  </si>
  <si>
    <t>FACULDADE NOVOS HORIZONTES</t>
  </si>
  <si>
    <t>OPTICA VISAR</t>
  </si>
  <si>
    <t>1015B</t>
  </si>
  <si>
    <t>LASER FAST DEPILAÇÃO</t>
  </si>
  <si>
    <t>SAÚDE COM VOCÊ</t>
  </si>
  <si>
    <t>1028.</t>
  </si>
  <si>
    <t>SEMÁFORO JÓIAS</t>
  </si>
  <si>
    <t>1029.</t>
  </si>
  <si>
    <t>BELLAS UNHAS</t>
  </si>
  <si>
    <t>106A</t>
  </si>
  <si>
    <t>TUDO DELAS MAKEUP</t>
  </si>
  <si>
    <t>110A</t>
  </si>
  <si>
    <t>LINDAS E CHIC'S</t>
  </si>
  <si>
    <t>LANCHONETE LONDRES</t>
  </si>
  <si>
    <t>125-127</t>
  </si>
  <si>
    <t>INSTITUTO GOURMET</t>
  </si>
  <si>
    <t>128-137</t>
  </si>
  <si>
    <t>POLO WEAR</t>
  </si>
  <si>
    <t>CAFÉ IMPERIAL</t>
  </si>
  <si>
    <t>GRUPO APF EMPRESARIAL</t>
  </si>
  <si>
    <t>2007/2008</t>
  </si>
  <si>
    <t>MULTICAPAS</t>
  </si>
  <si>
    <t>SER ORIGINAL</t>
  </si>
  <si>
    <t>THALES FOTOGRAFIA</t>
  </si>
  <si>
    <t>ALPHABETO</t>
  </si>
  <si>
    <t>CONSTANCE</t>
  </si>
  <si>
    <t>MARISA</t>
  </si>
  <si>
    <t>AMERICANAS</t>
  </si>
  <si>
    <t>BLOGUER MIRIM</t>
  </si>
  <si>
    <t>NEO JÓIAS</t>
  </si>
  <si>
    <t>LOJA DO GALO</t>
  </si>
  <si>
    <t>DUCAPS</t>
  </si>
  <si>
    <t>RF STORE</t>
  </si>
  <si>
    <t>315*</t>
  </si>
  <si>
    <t>HAKUNA BATATA</t>
  </si>
  <si>
    <t>APERTE PLAY</t>
  </si>
  <si>
    <t>MASTER GRILL</t>
  </si>
  <si>
    <t>HOT GRILL</t>
  </si>
  <si>
    <t>SPOLETO</t>
  </si>
  <si>
    <t>COLÉGIO METRÓPOLE</t>
  </si>
  <si>
    <t>BELEZA NATURAL</t>
  </si>
  <si>
    <t>TOQUE NATURAL</t>
  </si>
  <si>
    <t>D14</t>
  </si>
  <si>
    <t>DEPÓSITO LINDAS E CHIC'S</t>
  </si>
  <si>
    <t>D291</t>
  </si>
  <si>
    <t>CACAU SHOW - COMODATO</t>
  </si>
  <si>
    <t>E01</t>
  </si>
  <si>
    <t>AUTOCENTRO CONFIAR</t>
  </si>
  <si>
    <t>M041</t>
  </si>
  <si>
    <t>PLACA NOVOS HORIZONTES</t>
  </si>
  <si>
    <t>MPE005</t>
  </si>
  <si>
    <t>MÁGICA &amp; FESTA</t>
  </si>
  <si>
    <t>P201</t>
  </si>
  <si>
    <t>LE POPPINS PIPOCA GOURMET</t>
  </si>
  <si>
    <t>P202</t>
  </si>
  <si>
    <t>LP IMPORTS</t>
  </si>
  <si>
    <t>P204</t>
  </si>
  <si>
    <t>LONDRES</t>
  </si>
  <si>
    <t>Q103/107</t>
  </si>
  <si>
    <t>REI DAS CAPAS</t>
  </si>
  <si>
    <t>Q109</t>
  </si>
  <si>
    <t>PRAÇAÍ</t>
  </si>
  <si>
    <t>Q113</t>
  </si>
  <si>
    <t>ESTAÇÃO HOT DOG</t>
  </si>
  <si>
    <t>Q124</t>
  </si>
  <si>
    <t>Q128</t>
  </si>
  <si>
    <t>M &amp; CREPES</t>
  </si>
  <si>
    <t>QL109</t>
  </si>
  <si>
    <t>LOJA DE PELUCIA</t>
  </si>
  <si>
    <t>MERCADO DO CARRO</t>
  </si>
  <si>
    <t>105/106</t>
  </si>
  <si>
    <t>DOMINO'S PIZZA</t>
  </si>
  <si>
    <t>AÇAFRÃO DA TERRA</t>
  </si>
  <si>
    <t>CACAU SHOW</t>
  </si>
  <si>
    <t>JV TEC</t>
  </si>
  <si>
    <t>.SHOES</t>
  </si>
  <si>
    <t>BABALOO ACESSÓRIOS</t>
  </si>
  <si>
    <t>307.</t>
  </si>
  <si>
    <t>VIVIANE LOSCHA</t>
  </si>
  <si>
    <t>FATO A MANO FEMININO</t>
  </si>
  <si>
    <t>FLOW</t>
  </si>
  <si>
    <t>BY BLITZ</t>
  </si>
  <si>
    <t>Q111</t>
  </si>
  <si>
    <t>CIA DA EMPADA</t>
  </si>
  <si>
    <t>Q115A</t>
  </si>
  <si>
    <t>JAH DO AÇAÍ</t>
  </si>
  <si>
    <t>Q135</t>
  </si>
  <si>
    <t>PELE DE BONECA MAKE UP</t>
  </si>
  <si>
    <t>S1 E S2</t>
  </si>
  <si>
    <t>PRATIQUE FITNESS</t>
  </si>
  <si>
    <t>S200</t>
  </si>
  <si>
    <t>S206</t>
  </si>
  <si>
    <t>AQUA FAM</t>
  </si>
  <si>
    <t>S207/208</t>
  </si>
  <si>
    <t>ROSEANE ANJOS ACADEMY</t>
  </si>
  <si>
    <t>S220.</t>
  </si>
  <si>
    <t>BARATO E FÁCIL</t>
  </si>
  <si>
    <t>JD SKATE</t>
  </si>
  <si>
    <t>D2</t>
  </si>
  <si>
    <t>MAGIC COTTON - DEPÓSITO</t>
  </si>
  <si>
    <t>MIN04</t>
  </si>
  <si>
    <t>SER ORIGINAL - MÍDIA INAUGURAL</t>
  </si>
  <si>
    <t>MIN10</t>
  </si>
  <si>
    <t>MARVILLE - MÍDIA</t>
  </si>
  <si>
    <t>H.</t>
  </si>
  <si>
    <t>Q104</t>
  </si>
  <si>
    <t>MCDONALD'S</t>
  </si>
  <si>
    <t>CREPERIA</t>
  </si>
  <si>
    <t>MARVILLE</t>
  </si>
  <si>
    <t>D17</t>
  </si>
  <si>
    <t>MR. BLACK - DEPÓSITO</t>
  </si>
  <si>
    <t>M055</t>
  </si>
  <si>
    <t>MULTI COLCHÕES</t>
  </si>
  <si>
    <t>Q125</t>
  </si>
  <si>
    <t>KIDELICIA CHURROS</t>
  </si>
  <si>
    <t>Q118B</t>
  </si>
  <si>
    <t>APA DIVERSÕES</t>
  </si>
  <si>
    <t>Q124B</t>
  </si>
  <si>
    <t>S238</t>
  </si>
  <si>
    <t>HIGIENIZAÇÃO GETSEMANI</t>
  </si>
  <si>
    <t>S247</t>
  </si>
  <si>
    <t>ESTÚDIO SANTOS TATTOO</t>
  </si>
  <si>
    <t>OGGI SORVETES</t>
  </si>
  <si>
    <t>ESTRIPULIA</t>
  </si>
  <si>
    <t>D15</t>
  </si>
  <si>
    <t>DIVINO FOGÃO - DEPÓSITO</t>
  </si>
  <si>
    <t>Q228</t>
  </si>
  <si>
    <t>CARRUAGEM ENCANTADA</t>
  </si>
  <si>
    <t>Q502</t>
  </si>
  <si>
    <t>BIG TRUCK</t>
  </si>
  <si>
    <t>Q505</t>
  </si>
  <si>
    <t>LISIÊ CHOCOLATERIA</t>
  </si>
  <si>
    <t>SOBRANCELHAS</t>
  </si>
  <si>
    <t>ALFAIATARIA</t>
  </si>
  <si>
    <t>CLUBE MELISSA</t>
  </si>
  <si>
    <t>308.</t>
  </si>
  <si>
    <t>PIZZA HUT</t>
  </si>
  <si>
    <t>D309</t>
  </si>
  <si>
    <t>CLUBE MELISSA - DEPÓSITO</t>
  </si>
  <si>
    <t>D417-7</t>
  </si>
  <si>
    <t>BRASIL CACAU - DEPÓSITO</t>
  </si>
  <si>
    <t>OGGI SORVETES - MIDIA INAUGURAL</t>
  </si>
  <si>
    <t>MPE001</t>
  </si>
  <si>
    <t>SAFARI EVENTOS</t>
  </si>
  <si>
    <t>Q102</t>
  </si>
  <si>
    <t>BURGER KING</t>
  </si>
  <si>
    <t>Q314</t>
  </si>
  <si>
    <t>QPE04</t>
  </si>
  <si>
    <t>CARACOL ENTRETENIMENTOS</t>
  </si>
  <si>
    <t>SPACE PHONE</t>
  </si>
  <si>
    <t>D' CASA SABORES</t>
  </si>
  <si>
    <t>4002.</t>
  </si>
  <si>
    <t>ALP MALHAS</t>
  </si>
  <si>
    <t>D414-2</t>
  </si>
  <si>
    <t>WORLD TENNIS - DEPÓSITO</t>
  </si>
  <si>
    <t>Q129</t>
  </si>
  <si>
    <t>PÃO DE QUEIJO RECHEADO</t>
  </si>
  <si>
    <t>Q214</t>
  </si>
  <si>
    <t>TÔ BONITA COSMÉTICOS</t>
  </si>
  <si>
    <t>Q215</t>
  </si>
  <si>
    <t>SOLK EYEWEAR</t>
  </si>
  <si>
    <t>Q511</t>
  </si>
  <si>
    <t>ESTAÇÃO DO HOT DOG</t>
  </si>
  <si>
    <t>Q519</t>
  </si>
  <si>
    <t>CHINEMALHAS</t>
  </si>
  <si>
    <t>BETO CHURROS</t>
  </si>
  <si>
    <t>CACAU FESTAS</t>
  </si>
  <si>
    <t>CALÇADOS ITAPUÃ</t>
  </si>
  <si>
    <t>MP01</t>
  </si>
  <si>
    <t>COLÉGIO CORAÇÃO DE ESTUDANTE</t>
  </si>
  <si>
    <t>Q313</t>
  </si>
  <si>
    <t>ALGODÃO ZÃO</t>
  </si>
  <si>
    <t>MANNA CELULARES</t>
  </si>
  <si>
    <t>BRASIL OPTICAL</t>
  </si>
  <si>
    <t>.M</t>
  </si>
  <si>
    <t>BRUNA ALMEIDA CENTRO DE ESTÉTICA</t>
  </si>
  <si>
    <t>1001C</t>
  </si>
  <si>
    <t>EMPÓRIOS DOS PET'S</t>
  </si>
  <si>
    <t>DG01</t>
  </si>
  <si>
    <t>DG TELEMAR</t>
  </si>
  <si>
    <t>MLED10</t>
  </si>
  <si>
    <t>RIVER IMOBILIARIA</t>
  </si>
  <si>
    <t>MPE004</t>
  </si>
  <si>
    <t>FEIRA DE LIVROS LETRINHA</t>
  </si>
  <si>
    <t>Q217</t>
  </si>
  <si>
    <t>VIP ELETRÔNICOS</t>
  </si>
  <si>
    <t>Q508</t>
  </si>
  <si>
    <t>VIA CAFÉ</t>
  </si>
  <si>
    <t>Q520</t>
  </si>
  <si>
    <t>ALLAPEL</t>
  </si>
  <si>
    <t>Q54</t>
  </si>
  <si>
    <t>TRICAMPEÃO LOTERIAS</t>
  </si>
  <si>
    <t>CHIQUINHO SORVETES</t>
  </si>
  <si>
    <t>DOMINOS PIZZA</t>
  </si>
  <si>
    <t>D CASA SABORES</t>
  </si>
  <si>
    <t>UNIDUNITÊ</t>
  </si>
  <si>
    <t>MIN02</t>
  </si>
  <si>
    <t>BAIXINHOS CLUB</t>
  </si>
  <si>
    <t>Q115</t>
  </si>
  <si>
    <t>S1</t>
  </si>
  <si>
    <t xml:space="preserve">SAÚDE COM VOCÊ </t>
  </si>
  <si>
    <t xml:space="preserve">BELLAS UNHAS </t>
  </si>
  <si>
    <t xml:space="preserve">TUDO DELAS MAKEUP </t>
  </si>
  <si>
    <t xml:space="preserve">LANCHONETE LONDRES </t>
  </si>
  <si>
    <t xml:space="preserve">CACAU FESTAS </t>
  </si>
  <si>
    <t xml:space="preserve">INSTITUTO GOURMET </t>
  </si>
  <si>
    <t xml:space="preserve">CAFÉ IMPERIAL </t>
  </si>
  <si>
    <t xml:space="preserve">BRUNA ALMEIDA CENTRO DE ESTÉTICA </t>
  </si>
  <si>
    <t xml:space="preserve">THALES FOTOGRAFIA </t>
  </si>
  <si>
    <t xml:space="preserve">ALPHABETO </t>
  </si>
  <si>
    <t xml:space="preserve">MARISA </t>
  </si>
  <si>
    <t xml:space="preserve">AMERICANAS </t>
  </si>
  <si>
    <t xml:space="preserve">NEO JÓIAS </t>
  </si>
  <si>
    <t xml:space="preserve">ALFAIATARIA </t>
  </si>
  <si>
    <t xml:space="preserve">DUCAPS </t>
  </si>
  <si>
    <t xml:space="preserve">RF STORE </t>
  </si>
  <si>
    <t xml:space="preserve">CALÇADOS ITAPUÃ </t>
  </si>
  <si>
    <t xml:space="preserve">HAKUNA BATATA </t>
  </si>
  <si>
    <t xml:space="preserve">APERTE PLAY </t>
  </si>
  <si>
    <t xml:space="preserve">HOT GRILL </t>
  </si>
  <si>
    <t xml:space="preserve">SPOLETO </t>
  </si>
  <si>
    <t xml:space="preserve">ALP MALHAS </t>
  </si>
  <si>
    <t xml:space="preserve">COLÉGIO METRÓPOLE </t>
  </si>
  <si>
    <t xml:space="preserve">BELEZA NATURAL </t>
  </si>
  <si>
    <t xml:space="preserve">DG TELEMAR </t>
  </si>
  <si>
    <t xml:space="preserve">BURGER KING </t>
  </si>
  <si>
    <t xml:space="preserve">ESTAÇÃO HOT DOG </t>
  </si>
  <si>
    <t xml:space="preserve">LISIÊ CHOCOLATERIA </t>
  </si>
  <si>
    <t xml:space="preserve">VIA CAFÉ </t>
  </si>
  <si>
    <t xml:space="preserve">ALLAPEL </t>
  </si>
  <si>
    <t>Q54*</t>
  </si>
  <si>
    <t xml:space="preserve">TRICAMPEÃO LOTERIAS </t>
  </si>
  <si>
    <t xml:space="preserve">CARACOL ENTRETENIMENTOS </t>
  </si>
  <si>
    <t>CERTCODE</t>
  </si>
  <si>
    <t>MIN01</t>
  </si>
  <si>
    <t>1027</t>
  </si>
  <si>
    <t>1029</t>
  </si>
  <si>
    <t>114</t>
  </si>
  <si>
    <t>115</t>
  </si>
  <si>
    <t>125</t>
  </si>
  <si>
    <t>2007</t>
  </si>
  <si>
    <t>2040</t>
  </si>
  <si>
    <t>227</t>
  </si>
  <si>
    <t>TERRÁ</t>
  </si>
  <si>
    <t>234</t>
  </si>
  <si>
    <t>ESPAÇO LASER</t>
  </si>
  <si>
    <t>235</t>
  </si>
  <si>
    <t>246</t>
  </si>
  <si>
    <t>260</t>
  </si>
  <si>
    <t>271</t>
  </si>
  <si>
    <t>277</t>
  </si>
  <si>
    <t>278</t>
  </si>
  <si>
    <t>280</t>
  </si>
  <si>
    <t>321</t>
  </si>
  <si>
    <t>329</t>
  </si>
  <si>
    <t>4002</t>
  </si>
  <si>
    <t>417</t>
  </si>
  <si>
    <t>LOVE GIFTS - MIDIA INAUGURAL</t>
  </si>
  <si>
    <t>MIN03</t>
  </si>
  <si>
    <t>JD SKATE - MIDIA INAUGURAL</t>
  </si>
  <si>
    <t>102</t>
  </si>
  <si>
    <t>110</t>
  </si>
  <si>
    <t>112</t>
  </si>
  <si>
    <t xml:space="preserve">AÇAFRÃO DA TERRA </t>
  </si>
  <si>
    <t>119</t>
  </si>
  <si>
    <t>200</t>
  </si>
  <si>
    <t>216</t>
  </si>
  <si>
    <t>220</t>
  </si>
  <si>
    <t>238</t>
  </si>
  <si>
    <t>243</t>
  </si>
  <si>
    <t>247</t>
  </si>
  <si>
    <t>303</t>
  </si>
  <si>
    <t>341</t>
  </si>
  <si>
    <t>344</t>
  </si>
  <si>
    <t xml:space="preserve">BY BLITZ </t>
  </si>
  <si>
    <t>ID</t>
  </si>
  <si>
    <t>Data</t>
  </si>
  <si>
    <t>Viashopping</t>
  </si>
  <si>
    <t>Viabrasil</t>
  </si>
  <si>
    <t>Nome Fantasia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</si>
</sst>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1"/>
  <sheetViews>
    <sheetView tabSelected="1" workbookViewId="0">
      <selection activeCell="G1" sqref="G1:G1048576"/>
    </sheetView>
  </sheetViews>
  <sheetFormatPr defaultRowHeight="14.4" x14ac:dyDescent="0.3"/>
  <cols>
    <col min="1" max="1" width="10.5546875" customWidth="1"/>
    <col min="2" max="2" width="15.77734375" bestFit="1" customWidth="1"/>
    <col min="3" max="3" width="9.77734375" bestFit="1" customWidth="1"/>
    <col min="4" max="4" width="36.33203125" bestFit="1" customWidth="1"/>
    <col min="5" max="5" width="12.88671875" bestFit="1" customWidth="1"/>
    <col min="6" max="6" width="52.6640625" bestFit="1" customWidth="1"/>
  </cols>
  <sheetData>
    <row r="1" spans="1:6" x14ac:dyDescent="0.3">
      <c r="A1" s="1" t="s">
        <v>281</v>
      </c>
      <c r="B1" s="1" t="s">
        <v>0</v>
      </c>
      <c r="C1" s="1" t="s">
        <v>1</v>
      </c>
      <c r="D1" s="1" t="s">
        <v>284</v>
      </c>
      <c r="E1" s="1" t="s">
        <v>2</v>
      </c>
      <c r="F1" s="3" t="s">
        <v>280</v>
      </c>
    </row>
    <row r="2" spans="1:6" x14ac:dyDescent="0.3">
      <c r="A2" s="2">
        <v>45444</v>
      </c>
      <c r="B2" t="s">
        <v>282</v>
      </c>
      <c r="C2">
        <v>1001</v>
      </c>
      <c r="D2" t="s">
        <v>3</v>
      </c>
      <c r="E2">
        <v>308334.01</v>
      </c>
      <c r="F2" t="str">
        <f>C2&amp;"_"&amp;D2</f>
        <v>1001_CENTRO UNIVERSITÁRIO UNIHORIZONTES</v>
      </c>
    </row>
    <row r="3" spans="1:6" x14ac:dyDescent="0.3">
      <c r="A3" s="2">
        <v>45444</v>
      </c>
      <c r="B3" t="s">
        <v>282</v>
      </c>
      <c r="C3" t="s">
        <v>4</v>
      </c>
      <c r="D3" t="s">
        <v>5</v>
      </c>
      <c r="E3">
        <v>4013.57</v>
      </c>
      <c r="F3" t="str">
        <f t="shared" ref="F3:F66" si="0">C3&amp;"_"&amp;D3</f>
        <v>1001A_FACULDADE NOVOS HORIZONTES</v>
      </c>
    </row>
    <row r="4" spans="1:6" x14ac:dyDescent="0.3">
      <c r="A4" s="2">
        <v>45444</v>
      </c>
      <c r="B4" t="s">
        <v>282</v>
      </c>
      <c r="C4">
        <v>1011</v>
      </c>
      <c r="D4" t="s">
        <v>6</v>
      </c>
      <c r="E4">
        <v>3298.85</v>
      </c>
      <c r="F4" t="str">
        <f t="shared" si="0"/>
        <v>1011_OPTICA VISAR</v>
      </c>
    </row>
    <row r="5" spans="1:6" x14ac:dyDescent="0.3">
      <c r="A5" s="2">
        <v>45444</v>
      </c>
      <c r="B5" t="s">
        <v>282</v>
      </c>
      <c r="C5" t="s">
        <v>7</v>
      </c>
      <c r="D5" t="s">
        <v>8</v>
      </c>
      <c r="E5">
        <v>147841.34</v>
      </c>
      <c r="F5" t="str">
        <f t="shared" si="0"/>
        <v>1015B_LASER FAST DEPILAÇÃO</v>
      </c>
    </row>
    <row r="6" spans="1:6" x14ac:dyDescent="0.3">
      <c r="A6" s="2">
        <v>45444</v>
      </c>
      <c r="B6" t="s">
        <v>282</v>
      </c>
      <c r="C6">
        <v>1027</v>
      </c>
      <c r="D6" t="s">
        <v>9</v>
      </c>
      <c r="E6">
        <v>16384.62</v>
      </c>
      <c r="F6" t="str">
        <f t="shared" si="0"/>
        <v>1027_SAÚDE COM VOCÊ</v>
      </c>
    </row>
    <row r="7" spans="1:6" x14ac:dyDescent="0.3">
      <c r="A7" s="2">
        <v>45444</v>
      </c>
      <c r="B7" t="s">
        <v>282</v>
      </c>
      <c r="C7" t="s">
        <v>10</v>
      </c>
      <c r="D7" t="s">
        <v>11</v>
      </c>
      <c r="E7">
        <v>39775.370000000003</v>
      </c>
      <c r="F7" t="str">
        <f t="shared" si="0"/>
        <v>1028._SEMÁFORO JÓIAS</v>
      </c>
    </row>
    <row r="8" spans="1:6" x14ac:dyDescent="0.3">
      <c r="A8" s="2">
        <v>45444</v>
      </c>
      <c r="B8" t="s">
        <v>282</v>
      </c>
      <c r="C8" t="s">
        <v>12</v>
      </c>
      <c r="D8" t="s">
        <v>13</v>
      </c>
      <c r="E8">
        <v>10335.540000000001</v>
      </c>
      <c r="F8" t="str">
        <f t="shared" si="0"/>
        <v>1029._BELLAS UNHAS</v>
      </c>
    </row>
    <row r="9" spans="1:6" x14ac:dyDescent="0.3">
      <c r="A9" s="2">
        <v>45444</v>
      </c>
      <c r="B9" t="s">
        <v>282</v>
      </c>
      <c r="C9" t="s">
        <v>14</v>
      </c>
      <c r="D9" t="s">
        <v>15</v>
      </c>
      <c r="E9">
        <v>27692.39</v>
      </c>
      <c r="F9" t="str">
        <f t="shared" si="0"/>
        <v>106A_TUDO DELAS MAKEUP</v>
      </c>
    </row>
    <row r="10" spans="1:6" x14ac:dyDescent="0.3">
      <c r="A10" s="2">
        <v>45444</v>
      </c>
      <c r="B10" t="s">
        <v>282</v>
      </c>
      <c r="C10" t="s">
        <v>16</v>
      </c>
      <c r="D10" t="s">
        <v>17</v>
      </c>
      <c r="E10">
        <v>59505.26</v>
      </c>
      <c r="F10" t="str">
        <f t="shared" si="0"/>
        <v>110A_LINDAS E CHIC'S</v>
      </c>
    </row>
    <row r="11" spans="1:6" x14ac:dyDescent="0.3">
      <c r="A11" s="2">
        <v>45444</v>
      </c>
      <c r="B11" t="s">
        <v>282</v>
      </c>
      <c r="C11">
        <v>114</v>
      </c>
      <c r="D11" t="s">
        <v>18</v>
      </c>
      <c r="E11">
        <v>70763.62</v>
      </c>
      <c r="F11" t="str">
        <f t="shared" si="0"/>
        <v>114_LANCHONETE LONDRES</v>
      </c>
    </row>
    <row r="12" spans="1:6" x14ac:dyDescent="0.3">
      <c r="A12" s="2">
        <v>45444</v>
      </c>
      <c r="B12" t="s">
        <v>282</v>
      </c>
      <c r="C12" t="s">
        <v>19</v>
      </c>
      <c r="D12" t="s">
        <v>20</v>
      </c>
      <c r="E12">
        <v>17290.419999999998</v>
      </c>
      <c r="F12" t="str">
        <f t="shared" si="0"/>
        <v>125-127_INSTITUTO GOURMET</v>
      </c>
    </row>
    <row r="13" spans="1:6" x14ac:dyDescent="0.3">
      <c r="A13" s="2">
        <v>45444</v>
      </c>
      <c r="B13" t="s">
        <v>282</v>
      </c>
      <c r="C13" t="s">
        <v>21</v>
      </c>
      <c r="D13" t="s">
        <v>22</v>
      </c>
      <c r="E13">
        <v>40159.120000000003</v>
      </c>
      <c r="F13" t="str">
        <f t="shared" si="0"/>
        <v>128-137_POLO WEAR</v>
      </c>
    </row>
    <row r="14" spans="1:6" x14ac:dyDescent="0.3">
      <c r="A14" s="2">
        <v>45444</v>
      </c>
      <c r="B14" t="s">
        <v>282</v>
      </c>
      <c r="C14">
        <v>2004</v>
      </c>
      <c r="D14" t="s">
        <v>23</v>
      </c>
      <c r="E14">
        <v>1797.43</v>
      </c>
      <c r="F14" t="str">
        <f t="shared" si="0"/>
        <v>2004_CAFÉ IMPERIAL</v>
      </c>
    </row>
    <row r="15" spans="1:6" x14ac:dyDescent="0.3">
      <c r="A15" s="2">
        <v>45444</v>
      </c>
      <c r="B15" t="s">
        <v>282</v>
      </c>
      <c r="C15">
        <v>2006</v>
      </c>
      <c r="D15" t="s">
        <v>24</v>
      </c>
      <c r="E15">
        <v>41421.4</v>
      </c>
      <c r="F15" t="str">
        <f t="shared" si="0"/>
        <v>2006_GRUPO APF EMPRESARIAL</v>
      </c>
    </row>
    <row r="16" spans="1:6" x14ac:dyDescent="0.3">
      <c r="A16" s="2">
        <v>45444</v>
      </c>
      <c r="B16" t="s">
        <v>282</v>
      </c>
      <c r="C16" t="s">
        <v>25</v>
      </c>
      <c r="D16" t="s">
        <v>26</v>
      </c>
      <c r="E16">
        <v>119448.29</v>
      </c>
      <c r="F16" t="str">
        <f t="shared" si="0"/>
        <v>2007/2008_MULTICAPAS</v>
      </c>
    </row>
    <row r="17" spans="1:6" x14ac:dyDescent="0.3">
      <c r="A17" s="2">
        <v>45444</v>
      </c>
      <c r="B17" t="s">
        <v>282</v>
      </c>
      <c r="C17">
        <v>2023</v>
      </c>
      <c r="D17" t="s">
        <v>27</v>
      </c>
      <c r="E17">
        <v>6770.5700000000006</v>
      </c>
      <c r="F17" t="str">
        <f t="shared" si="0"/>
        <v>2023_SER ORIGINAL</v>
      </c>
    </row>
    <row r="18" spans="1:6" x14ac:dyDescent="0.3">
      <c r="A18" s="2">
        <v>45444</v>
      </c>
      <c r="B18" t="s">
        <v>282</v>
      </c>
      <c r="C18">
        <v>2040</v>
      </c>
      <c r="D18" t="s">
        <v>28</v>
      </c>
      <c r="E18">
        <v>16005.13</v>
      </c>
      <c r="F18" t="str">
        <f t="shared" si="0"/>
        <v>2040_THALES FOTOGRAFIA</v>
      </c>
    </row>
    <row r="19" spans="1:6" x14ac:dyDescent="0.3">
      <c r="A19" s="2">
        <v>45444</v>
      </c>
      <c r="B19" t="s">
        <v>282</v>
      </c>
      <c r="C19">
        <v>223</v>
      </c>
      <c r="D19" t="s">
        <v>29</v>
      </c>
      <c r="E19">
        <v>27374.66</v>
      </c>
      <c r="F19" t="str">
        <f t="shared" si="0"/>
        <v>223_ALPHABETO</v>
      </c>
    </row>
    <row r="20" spans="1:6" x14ac:dyDescent="0.3">
      <c r="A20" s="2">
        <v>45444</v>
      </c>
      <c r="B20" t="s">
        <v>282</v>
      </c>
      <c r="C20">
        <v>228</v>
      </c>
      <c r="D20" t="s">
        <v>30</v>
      </c>
      <c r="E20">
        <v>130142.64</v>
      </c>
      <c r="F20" t="str">
        <f t="shared" si="0"/>
        <v>228_CONSTANCE</v>
      </c>
    </row>
    <row r="21" spans="1:6" x14ac:dyDescent="0.3">
      <c r="A21" s="2">
        <v>45444</v>
      </c>
      <c r="B21" t="s">
        <v>282</v>
      </c>
      <c r="C21">
        <v>235</v>
      </c>
      <c r="D21" t="s">
        <v>31</v>
      </c>
      <c r="E21">
        <v>44266.71</v>
      </c>
      <c r="F21" t="str">
        <f t="shared" si="0"/>
        <v>235_MARISA</v>
      </c>
    </row>
    <row r="22" spans="1:6" x14ac:dyDescent="0.3">
      <c r="A22" s="2">
        <v>45444</v>
      </c>
      <c r="B22" t="s">
        <v>282</v>
      </c>
      <c r="C22">
        <v>246</v>
      </c>
      <c r="D22" t="s">
        <v>32</v>
      </c>
      <c r="E22">
        <v>78355.16</v>
      </c>
      <c r="F22" t="str">
        <f t="shared" si="0"/>
        <v>246_AMERICANAS</v>
      </c>
    </row>
    <row r="23" spans="1:6" x14ac:dyDescent="0.3">
      <c r="A23" s="2">
        <v>45444</v>
      </c>
      <c r="B23" t="s">
        <v>282</v>
      </c>
      <c r="C23">
        <v>251</v>
      </c>
      <c r="D23" t="s">
        <v>33</v>
      </c>
      <c r="E23">
        <v>114639.18</v>
      </c>
      <c r="F23" t="str">
        <f t="shared" si="0"/>
        <v>251_BLOGUER MIRIM</v>
      </c>
    </row>
    <row r="24" spans="1:6" x14ac:dyDescent="0.3">
      <c r="A24" s="2">
        <v>45444</v>
      </c>
      <c r="B24" t="s">
        <v>282</v>
      </c>
      <c r="C24">
        <v>260</v>
      </c>
      <c r="D24" t="s">
        <v>34</v>
      </c>
      <c r="E24">
        <v>45752.28</v>
      </c>
      <c r="F24" t="str">
        <f t="shared" si="0"/>
        <v>260_NEO JÓIAS</v>
      </c>
    </row>
    <row r="25" spans="1:6" x14ac:dyDescent="0.3">
      <c r="A25" s="2">
        <v>45444</v>
      </c>
      <c r="B25" t="s">
        <v>282</v>
      </c>
      <c r="C25">
        <v>262</v>
      </c>
      <c r="D25" t="s">
        <v>35</v>
      </c>
      <c r="E25">
        <v>10572.67</v>
      </c>
      <c r="F25" t="str">
        <f t="shared" si="0"/>
        <v>262_LOJA DO GALO</v>
      </c>
    </row>
    <row r="26" spans="1:6" x14ac:dyDescent="0.3">
      <c r="A26" s="2">
        <v>45444</v>
      </c>
      <c r="B26" t="s">
        <v>282</v>
      </c>
      <c r="C26">
        <v>277</v>
      </c>
      <c r="D26" t="s">
        <v>36</v>
      </c>
      <c r="E26">
        <v>81943.260000000009</v>
      </c>
      <c r="F26" t="str">
        <f t="shared" si="0"/>
        <v>277_DUCAPS</v>
      </c>
    </row>
    <row r="27" spans="1:6" x14ac:dyDescent="0.3">
      <c r="A27" s="2">
        <v>45444</v>
      </c>
      <c r="B27" t="s">
        <v>282</v>
      </c>
      <c r="C27">
        <v>278</v>
      </c>
      <c r="D27" t="s">
        <v>37</v>
      </c>
      <c r="E27">
        <v>47603.44</v>
      </c>
      <c r="F27" t="str">
        <f t="shared" si="0"/>
        <v>278_RF STORE</v>
      </c>
    </row>
    <row r="28" spans="1:6" x14ac:dyDescent="0.3">
      <c r="A28" s="2">
        <v>45444</v>
      </c>
      <c r="B28" t="s">
        <v>282</v>
      </c>
      <c r="C28" t="s">
        <v>38</v>
      </c>
      <c r="D28" t="s">
        <v>39</v>
      </c>
      <c r="E28">
        <v>46775.57</v>
      </c>
      <c r="F28" t="str">
        <f t="shared" si="0"/>
        <v>315*_HAKUNA BATATA</v>
      </c>
    </row>
    <row r="29" spans="1:6" x14ac:dyDescent="0.3">
      <c r="A29" s="2">
        <v>45444</v>
      </c>
      <c r="B29" t="s">
        <v>282</v>
      </c>
      <c r="C29">
        <v>321</v>
      </c>
      <c r="D29" t="s">
        <v>40</v>
      </c>
      <c r="E29">
        <v>25925.98</v>
      </c>
      <c r="F29" t="str">
        <f t="shared" si="0"/>
        <v>321_APERTE PLAY</v>
      </c>
    </row>
    <row r="30" spans="1:6" x14ac:dyDescent="0.3">
      <c r="A30" s="2">
        <v>45444</v>
      </c>
      <c r="B30" t="s">
        <v>282</v>
      </c>
      <c r="C30">
        <v>324</v>
      </c>
      <c r="D30" t="s">
        <v>41</v>
      </c>
      <c r="E30">
        <v>172422.25</v>
      </c>
      <c r="F30" t="str">
        <f t="shared" si="0"/>
        <v>324_MASTER GRILL</v>
      </c>
    </row>
    <row r="31" spans="1:6" x14ac:dyDescent="0.3">
      <c r="A31" s="2">
        <v>45444</v>
      </c>
      <c r="B31" t="s">
        <v>282</v>
      </c>
      <c r="C31">
        <v>329</v>
      </c>
      <c r="D31" t="s">
        <v>42</v>
      </c>
      <c r="E31">
        <v>138491.29999999999</v>
      </c>
      <c r="F31" t="str">
        <f t="shared" si="0"/>
        <v>329_HOT GRILL</v>
      </c>
    </row>
    <row r="32" spans="1:6" x14ac:dyDescent="0.3">
      <c r="A32" s="2">
        <v>45444</v>
      </c>
      <c r="B32" t="s">
        <v>282</v>
      </c>
      <c r="C32">
        <v>332</v>
      </c>
      <c r="D32" t="s">
        <v>43</v>
      </c>
      <c r="E32">
        <v>103760.31</v>
      </c>
      <c r="F32" t="str">
        <f t="shared" si="0"/>
        <v>332_SPOLETO</v>
      </c>
    </row>
    <row r="33" spans="1:6" x14ac:dyDescent="0.3">
      <c r="A33" s="2">
        <v>45444</v>
      </c>
      <c r="B33" t="s">
        <v>282</v>
      </c>
      <c r="C33">
        <v>410</v>
      </c>
      <c r="D33" t="s">
        <v>44</v>
      </c>
      <c r="E33">
        <v>24129.4</v>
      </c>
      <c r="F33" t="str">
        <f t="shared" si="0"/>
        <v>410_COLÉGIO METRÓPOLE</v>
      </c>
    </row>
    <row r="34" spans="1:6" x14ac:dyDescent="0.3">
      <c r="A34" s="2">
        <v>45444</v>
      </c>
      <c r="B34" t="s">
        <v>282</v>
      </c>
      <c r="C34">
        <v>417</v>
      </c>
      <c r="D34" t="s">
        <v>45</v>
      </c>
      <c r="E34">
        <v>155037.28</v>
      </c>
      <c r="F34" t="str">
        <f t="shared" si="0"/>
        <v>417_BELEZA NATURAL</v>
      </c>
    </row>
    <row r="35" spans="1:6" x14ac:dyDescent="0.3">
      <c r="A35" s="2">
        <v>45444</v>
      </c>
      <c r="B35" t="s">
        <v>282</v>
      </c>
      <c r="C35">
        <v>418</v>
      </c>
      <c r="D35" t="s">
        <v>46</v>
      </c>
      <c r="E35">
        <v>616209.24</v>
      </c>
      <c r="F35" t="str">
        <f t="shared" si="0"/>
        <v>418_TOQUE NATURAL</v>
      </c>
    </row>
    <row r="36" spans="1:6" x14ac:dyDescent="0.3">
      <c r="A36" s="2">
        <v>45444</v>
      </c>
      <c r="B36" t="s">
        <v>282</v>
      </c>
      <c r="C36" t="s">
        <v>47</v>
      </c>
      <c r="D36" t="s">
        <v>48</v>
      </c>
      <c r="E36">
        <v>1514</v>
      </c>
      <c r="F36" t="str">
        <f t="shared" si="0"/>
        <v>D14_DEPÓSITO LINDAS E CHIC'S</v>
      </c>
    </row>
    <row r="37" spans="1:6" x14ac:dyDescent="0.3">
      <c r="A37" s="2">
        <v>45444</v>
      </c>
      <c r="B37" t="s">
        <v>282</v>
      </c>
      <c r="C37" t="s">
        <v>49</v>
      </c>
      <c r="D37" t="s">
        <v>50</v>
      </c>
      <c r="E37">
        <v>71.08</v>
      </c>
      <c r="F37" t="str">
        <f t="shared" si="0"/>
        <v>D291_CACAU SHOW - COMODATO</v>
      </c>
    </row>
    <row r="38" spans="1:6" x14ac:dyDescent="0.3">
      <c r="A38" s="2">
        <v>45444</v>
      </c>
      <c r="B38" t="s">
        <v>282</v>
      </c>
      <c r="C38" t="s">
        <v>51</v>
      </c>
      <c r="D38" t="s">
        <v>52</v>
      </c>
      <c r="E38">
        <v>10803.24</v>
      </c>
      <c r="F38" t="str">
        <f t="shared" si="0"/>
        <v>E01_AUTOCENTRO CONFIAR</v>
      </c>
    </row>
    <row r="39" spans="1:6" x14ac:dyDescent="0.3">
      <c r="A39" s="2">
        <v>45444</v>
      </c>
      <c r="B39" t="s">
        <v>282</v>
      </c>
      <c r="C39" t="s">
        <v>53</v>
      </c>
      <c r="D39" t="s">
        <v>54</v>
      </c>
      <c r="E39">
        <v>22750</v>
      </c>
      <c r="F39" t="str">
        <f t="shared" si="0"/>
        <v>M041_PLACA NOVOS HORIZONTES</v>
      </c>
    </row>
    <row r="40" spans="1:6" x14ac:dyDescent="0.3">
      <c r="A40" s="2">
        <v>45444</v>
      </c>
      <c r="B40" t="s">
        <v>282</v>
      </c>
      <c r="C40" t="s">
        <v>55</v>
      </c>
      <c r="D40" t="s">
        <v>56</v>
      </c>
      <c r="E40">
        <v>5000</v>
      </c>
      <c r="F40" t="str">
        <f t="shared" si="0"/>
        <v>MPE005_MÁGICA &amp; FESTA</v>
      </c>
    </row>
    <row r="41" spans="1:6" x14ac:dyDescent="0.3">
      <c r="A41" s="2">
        <v>45444</v>
      </c>
      <c r="B41" t="s">
        <v>282</v>
      </c>
      <c r="C41" t="s">
        <v>57</v>
      </c>
      <c r="D41" t="s">
        <v>58</v>
      </c>
      <c r="E41">
        <v>394.2</v>
      </c>
      <c r="F41" t="str">
        <f t="shared" si="0"/>
        <v>P201_LE POPPINS PIPOCA GOURMET</v>
      </c>
    </row>
    <row r="42" spans="1:6" x14ac:dyDescent="0.3">
      <c r="A42" s="2">
        <v>45444</v>
      </c>
      <c r="B42" t="s">
        <v>282</v>
      </c>
      <c r="C42" t="s">
        <v>59</v>
      </c>
      <c r="D42" t="s">
        <v>60</v>
      </c>
      <c r="E42">
        <v>28147</v>
      </c>
      <c r="F42" t="str">
        <f t="shared" si="0"/>
        <v>P202_LP IMPORTS</v>
      </c>
    </row>
    <row r="43" spans="1:6" x14ac:dyDescent="0.3">
      <c r="A43" s="2">
        <v>45444</v>
      </c>
      <c r="B43" t="s">
        <v>282</v>
      </c>
      <c r="C43" t="s">
        <v>61</v>
      </c>
      <c r="D43" t="s">
        <v>62</v>
      </c>
      <c r="E43">
        <v>12626.15</v>
      </c>
      <c r="F43" t="str">
        <f t="shared" si="0"/>
        <v>P204_LONDRES</v>
      </c>
    </row>
    <row r="44" spans="1:6" x14ac:dyDescent="0.3">
      <c r="A44" s="2">
        <v>45444</v>
      </c>
      <c r="B44" t="s">
        <v>282</v>
      </c>
      <c r="C44" t="s">
        <v>63</v>
      </c>
      <c r="D44" t="s">
        <v>64</v>
      </c>
      <c r="E44">
        <v>4300</v>
      </c>
      <c r="F44" t="str">
        <f t="shared" si="0"/>
        <v>Q103/107_REI DAS CAPAS</v>
      </c>
    </row>
    <row r="45" spans="1:6" x14ac:dyDescent="0.3">
      <c r="A45" s="2">
        <v>45444</v>
      </c>
      <c r="B45" t="s">
        <v>282</v>
      </c>
      <c r="C45" t="s">
        <v>65</v>
      </c>
      <c r="D45" t="s">
        <v>66</v>
      </c>
      <c r="E45">
        <v>17326.88</v>
      </c>
      <c r="F45" t="str">
        <f t="shared" si="0"/>
        <v>Q109_PRAÇAÍ</v>
      </c>
    </row>
    <row r="46" spans="1:6" x14ac:dyDescent="0.3">
      <c r="A46" s="2">
        <v>45444</v>
      </c>
      <c r="B46" t="s">
        <v>282</v>
      </c>
      <c r="C46" t="s">
        <v>67</v>
      </c>
      <c r="D46" t="s">
        <v>68</v>
      </c>
      <c r="E46">
        <v>5423.22</v>
      </c>
      <c r="F46" t="str">
        <f t="shared" si="0"/>
        <v>Q113_ESTAÇÃO HOT DOG</v>
      </c>
    </row>
    <row r="47" spans="1:6" x14ac:dyDescent="0.3">
      <c r="A47" s="2">
        <v>45444</v>
      </c>
      <c r="B47" t="s">
        <v>282</v>
      </c>
      <c r="C47" t="s">
        <v>69</v>
      </c>
      <c r="D47" t="s">
        <v>66</v>
      </c>
      <c r="E47">
        <v>10992.03</v>
      </c>
      <c r="F47" t="str">
        <f t="shared" si="0"/>
        <v>Q124_PRAÇAÍ</v>
      </c>
    </row>
    <row r="48" spans="1:6" x14ac:dyDescent="0.3">
      <c r="A48" s="2">
        <v>45444</v>
      </c>
      <c r="B48" t="s">
        <v>282</v>
      </c>
      <c r="C48" t="s">
        <v>70</v>
      </c>
      <c r="D48" t="s">
        <v>71</v>
      </c>
      <c r="E48">
        <v>27135.7</v>
      </c>
      <c r="F48" t="str">
        <f t="shared" si="0"/>
        <v>Q128_M &amp; CREPES</v>
      </c>
    </row>
    <row r="49" spans="1:6" x14ac:dyDescent="0.3">
      <c r="A49" s="2">
        <v>45444</v>
      </c>
      <c r="B49" t="s">
        <v>282</v>
      </c>
      <c r="C49" t="s">
        <v>72</v>
      </c>
      <c r="D49" t="s">
        <v>73</v>
      </c>
      <c r="E49">
        <v>3376.04</v>
      </c>
      <c r="F49" t="str">
        <f t="shared" si="0"/>
        <v>QL109_LOJA DE PELUCIA</v>
      </c>
    </row>
    <row r="50" spans="1:6" x14ac:dyDescent="0.3">
      <c r="A50" s="2">
        <v>45444</v>
      </c>
      <c r="B50" t="s">
        <v>283</v>
      </c>
      <c r="C50">
        <v>103</v>
      </c>
      <c r="D50" t="s">
        <v>74</v>
      </c>
      <c r="E50">
        <v>50678.18</v>
      </c>
      <c r="F50" t="str">
        <f t="shared" si="0"/>
        <v>103_MERCADO DO CARRO</v>
      </c>
    </row>
    <row r="51" spans="1:6" x14ac:dyDescent="0.3">
      <c r="A51" s="2">
        <v>45444</v>
      </c>
      <c r="B51" t="s">
        <v>283</v>
      </c>
      <c r="C51" t="s">
        <v>75</v>
      </c>
      <c r="D51" t="s">
        <v>76</v>
      </c>
      <c r="E51">
        <v>133163.5</v>
      </c>
      <c r="F51" t="str">
        <f t="shared" si="0"/>
        <v>105/106_DOMINO'S PIZZA</v>
      </c>
    </row>
    <row r="52" spans="1:6" x14ac:dyDescent="0.3">
      <c r="A52" s="2">
        <v>45444</v>
      </c>
      <c r="B52" t="s">
        <v>283</v>
      </c>
      <c r="C52">
        <v>109</v>
      </c>
      <c r="D52" t="s">
        <v>77</v>
      </c>
      <c r="E52">
        <v>165410.94</v>
      </c>
      <c r="F52" t="str">
        <f t="shared" si="0"/>
        <v>109_AÇAFRÃO DA TERRA</v>
      </c>
    </row>
    <row r="53" spans="1:6" x14ac:dyDescent="0.3">
      <c r="A53" s="2">
        <v>45444</v>
      </c>
      <c r="B53" t="s">
        <v>283</v>
      </c>
      <c r="C53">
        <v>119</v>
      </c>
      <c r="D53" t="s">
        <v>78</v>
      </c>
      <c r="E53">
        <v>978.90000000000009</v>
      </c>
      <c r="F53" t="str">
        <f t="shared" si="0"/>
        <v>119_CACAU SHOW</v>
      </c>
    </row>
    <row r="54" spans="1:6" x14ac:dyDescent="0.3">
      <c r="A54" s="2">
        <v>45444</v>
      </c>
      <c r="B54" t="s">
        <v>283</v>
      </c>
      <c r="C54">
        <v>121</v>
      </c>
      <c r="D54" t="s">
        <v>79</v>
      </c>
      <c r="E54">
        <v>8551.52</v>
      </c>
      <c r="F54" t="str">
        <f t="shared" si="0"/>
        <v>121_JV TEC</v>
      </c>
    </row>
    <row r="55" spans="1:6" x14ac:dyDescent="0.3">
      <c r="A55" s="2">
        <v>45444</v>
      </c>
      <c r="B55" t="s">
        <v>283</v>
      </c>
      <c r="C55">
        <v>216</v>
      </c>
      <c r="D55" t="s">
        <v>80</v>
      </c>
      <c r="E55">
        <v>21215.75</v>
      </c>
      <c r="F55" t="str">
        <f t="shared" si="0"/>
        <v>216_.SHOES</v>
      </c>
    </row>
    <row r="56" spans="1:6" x14ac:dyDescent="0.3">
      <c r="A56" s="2">
        <v>45444</v>
      </c>
      <c r="B56" t="s">
        <v>283</v>
      </c>
      <c r="C56">
        <v>303</v>
      </c>
      <c r="D56" t="s">
        <v>81</v>
      </c>
      <c r="E56">
        <v>27206.97</v>
      </c>
      <c r="F56" t="str">
        <f t="shared" si="0"/>
        <v>303_BABALOO ACESSÓRIOS</v>
      </c>
    </row>
    <row r="57" spans="1:6" x14ac:dyDescent="0.3">
      <c r="A57" s="2">
        <v>45444</v>
      </c>
      <c r="B57" t="s">
        <v>283</v>
      </c>
      <c r="C57" t="s">
        <v>82</v>
      </c>
      <c r="D57" t="s">
        <v>83</v>
      </c>
      <c r="E57">
        <v>7876.86</v>
      </c>
      <c r="F57" t="str">
        <f t="shared" si="0"/>
        <v>307._VIVIANE LOSCHA</v>
      </c>
    </row>
    <row r="58" spans="1:6" x14ac:dyDescent="0.3">
      <c r="A58" s="2">
        <v>45444</v>
      </c>
      <c r="B58" t="s">
        <v>283</v>
      </c>
      <c r="C58">
        <v>313</v>
      </c>
      <c r="D58" t="s">
        <v>84</v>
      </c>
      <c r="E58">
        <v>80218.36</v>
      </c>
      <c r="F58" t="str">
        <f t="shared" si="0"/>
        <v>313_FATO A MANO FEMININO</v>
      </c>
    </row>
    <row r="59" spans="1:6" x14ac:dyDescent="0.3">
      <c r="A59" s="2">
        <v>45444</v>
      </c>
      <c r="B59" t="s">
        <v>283</v>
      </c>
      <c r="C59">
        <v>317</v>
      </c>
      <c r="D59" t="s">
        <v>85</v>
      </c>
      <c r="E59">
        <v>33559.839999999997</v>
      </c>
      <c r="F59" t="str">
        <f t="shared" si="0"/>
        <v>317_FLOW</v>
      </c>
    </row>
    <row r="60" spans="1:6" x14ac:dyDescent="0.3">
      <c r="A60" s="2">
        <v>45444</v>
      </c>
      <c r="B60" t="s">
        <v>283</v>
      </c>
      <c r="C60">
        <v>344</v>
      </c>
      <c r="D60" t="s">
        <v>86</v>
      </c>
      <c r="E60">
        <v>33582.300000000003</v>
      </c>
      <c r="F60" t="str">
        <f t="shared" si="0"/>
        <v>344_BY BLITZ</v>
      </c>
    </row>
    <row r="61" spans="1:6" x14ac:dyDescent="0.3">
      <c r="A61" s="2">
        <v>45444</v>
      </c>
      <c r="B61" t="s">
        <v>283</v>
      </c>
      <c r="C61" t="s">
        <v>87</v>
      </c>
      <c r="D61" t="s">
        <v>88</v>
      </c>
      <c r="E61">
        <v>56127.73</v>
      </c>
      <c r="F61" t="str">
        <f t="shared" si="0"/>
        <v>Q111_CIA DA EMPADA</v>
      </c>
    </row>
    <row r="62" spans="1:6" x14ac:dyDescent="0.3">
      <c r="A62" s="2">
        <v>45444</v>
      </c>
      <c r="B62" t="s">
        <v>283</v>
      </c>
      <c r="C62" t="s">
        <v>89</v>
      </c>
      <c r="D62" t="s">
        <v>90</v>
      </c>
      <c r="E62">
        <v>28783.759999999998</v>
      </c>
      <c r="F62" t="str">
        <f t="shared" si="0"/>
        <v>Q115A_JAH DO AÇAÍ</v>
      </c>
    </row>
    <row r="63" spans="1:6" x14ac:dyDescent="0.3">
      <c r="A63" s="2">
        <v>45444</v>
      </c>
      <c r="B63" t="s">
        <v>283</v>
      </c>
      <c r="C63" t="s">
        <v>91</v>
      </c>
      <c r="D63" t="s">
        <v>92</v>
      </c>
      <c r="E63">
        <v>4366.09</v>
      </c>
      <c r="F63" t="str">
        <f t="shared" si="0"/>
        <v>Q135_PELE DE BONECA MAKE UP</v>
      </c>
    </row>
    <row r="64" spans="1:6" x14ac:dyDescent="0.3">
      <c r="A64" s="2">
        <v>45444</v>
      </c>
      <c r="B64" t="s">
        <v>283</v>
      </c>
      <c r="C64" t="s">
        <v>93</v>
      </c>
      <c r="D64" t="s">
        <v>94</v>
      </c>
      <c r="E64">
        <v>118387.4</v>
      </c>
      <c r="F64" t="str">
        <f t="shared" si="0"/>
        <v>S1 E S2_PRATIQUE FITNESS</v>
      </c>
    </row>
    <row r="65" spans="1:6" x14ac:dyDescent="0.3">
      <c r="A65" s="2">
        <v>45444</v>
      </c>
      <c r="B65" t="s">
        <v>283</v>
      </c>
      <c r="C65" t="s">
        <v>95</v>
      </c>
      <c r="D65" t="s">
        <v>32</v>
      </c>
      <c r="E65">
        <v>45889.81</v>
      </c>
      <c r="F65" t="str">
        <f t="shared" si="0"/>
        <v>S200_AMERICANAS</v>
      </c>
    </row>
    <row r="66" spans="1:6" x14ac:dyDescent="0.3">
      <c r="A66" s="2">
        <v>45444</v>
      </c>
      <c r="B66" t="s">
        <v>283</v>
      </c>
      <c r="C66" t="s">
        <v>96</v>
      </c>
      <c r="D66" t="s">
        <v>97</v>
      </c>
      <c r="E66">
        <v>68528.710000000006</v>
      </c>
      <c r="F66" t="str">
        <f t="shared" si="0"/>
        <v>S206_AQUA FAM</v>
      </c>
    </row>
    <row r="67" spans="1:6" x14ac:dyDescent="0.3">
      <c r="A67" s="2">
        <v>45444</v>
      </c>
      <c r="B67" t="s">
        <v>283</v>
      </c>
      <c r="C67" t="s">
        <v>98</v>
      </c>
      <c r="D67" t="s">
        <v>99</v>
      </c>
      <c r="E67">
        <v>3028.5</v>
      </c>
      <c r="F67" t="str">
        <f t="shared" ref="F67:F130" si="1">C67&amp;"_"&amp;D67</f>
        <v>S207/208_ROSEANE ANJOS ACADEMY</v>
      </c>
    </row>
    <row r="68" spans="1:6" x14ac:dyDescent="0.3">
      <c r="A68" s="2">
        <v>45444</v>
      </c>
      <c r="B68" t="s">
        <v>283</v>
      </c>
      <c r="C68" t="s">
        <v>100</v>
      </c>
      <c r="D68" t="s">
        <v>101</v>
      </c>
      <c r="E68">
        <v>702.28</v>
      </c>
      <c r="F68" t="str">
        <f t="shared" si="1"/>
        <v>S220._BARATO E FÁCIL</v>
      </c>
    </row>
    <row r="69" spans="1:6" x14ac:dyDescent="0.3">
      <c r="A69" s="2">
        <v>45474</v>
      </c>
      <c r="B69" t="s">
        <v>282</v>
      </c>
      <c r="C69">
        <v>1001</v>
      </c>
      <c r="D69" t="s">
        <v>3</v>
      </c>
      <c r="E69">
        <v>359777.53</v>
      </c>
      <c r="F69" t="str">
        <f t="shared" si="1"/>
        <v>1001_CENTRO UNIVERSITÁRIO UNIHORIZONTES</v>
      </c>
    </row>
    <row r="70" spans="1:6" x14ac:dyDescent="0.3">
      <c r="A70" s="2">
        <v>45474</v>
      </c>
      <c r="B70" t="s">
        <v>282</v>
      </c>
      <c r="C70" t="s">
        <v>4</v>
      </c>
      <c r="D70" t="s">
        <v>5</v>
      </c>
      <c r="E70">
        <v>4702.05</v>
      </c>
      <c r="F70" t="str">
        <f t="shared" si="1"/>
        <v>1001A_FACULDADE NOVOS HORIZONTES</v>
      </c>
    </row>
    <row r="71" spans="1:6" x14ac:dyDescent="0.3">
      <c r="A71" s="2">
        <v>45474</v>
      </c>
      <c r="B71" t="s">
        <v>282</v>
      </c>
      <c r="C71">
        <v>1011</v>
      </c>
      <c r="D71" t="s">
        <v>6</v>
      </c>
      <c r="E71">
        <v>9084.7999999999993</v>
      </c>
      <c r="F71" t="str">
        <f t="shared" si="1"/>
        <v>1011_OPTICA VISAR</v>
      </c>
    </row>
    <row r="72" spans="1:6" x14ac:dyDescent="0.3">
      <c r="A72" s="2">
        <v>45474</v>
      </c>
      <c r="B72" t="s">
        <v>282</v>
      </c>
      <c r="C72" t="s">
        <v>7</v>
      </c>
      <c r="D72" t="s">
        <v>8</v>
      </c>
      <c r="E72">
        <v>157688.44</v>
      </c>
      <c r="F72" t="str">
        <f t="shared" si="1"/>
        <v>1015B_LASER FAST DEPILAÇÃO</v>
      </c>
    </row>
    <row r="73" spans="1:6" x14ac:dyDescent="0.3">
      <c r="A73" s="2">
        <v>45474</v>
      </c>
      <c r="B73" t="s">
        <v>282</v>
      </c>
      <c r="C73">
        <v>1027</v>
      </c>
      <c r="D73" t="s">
        <v>9</v>
      </c>
      <c r="E73">
        <v>32511.7</v>
      </c>
      <c r="F73" t="str">
        <f t="shared" si="1"/>
        <v>1027_SAÚDE COM VOCÊ</v>
      </c>
    </row>
    <row r="74" spans="1:6" x14ac:dyDescent="0.3">
      <c r="A74" s="2">
        <v>45474</v>
      </c>
      <c r="B74" t="s">
        <v>282</v>
      </c>
      <c r="C74" t="s">
        <v>12</v>
      </c>
      <c r="D74" t="s">
        <v>13</v>
      </c>
      <c r="E74">
        <v>10253.280000000001</v>
      </c>
      <c r="F74" t="str">
        <f t="shared" si="1"/>
        <v>1029._BELLAS UNHAS</v>
      </c>
    </row>
    <row r="75" spans="1:6" x14ac:dyDescent="0.3">
      <c r="A75" s="2">
        <v>45474</v>
      </c>
      <c r="B75" t="s">
        <v>282</v>
      </c>
      <c r="C75" t="s">
        <v>14</v>
      </c>
      <c r="D75" t="s">
        <v>15</v>
      </c>
      <c r="E75">
        <v>56449.14</v>
      </c>
      <c r="F75" t="str">
        <f t="shared" si="1"/>
        <v>106A_TUDO DELAS MAKEUP</v>
      </c>
    </row>
    <row r="76" spans="1:6" x14ac:dyDescent="0.3">
      <c r="A76" s="2">
        <v>45474</v>
      </c>
      <c r="B76" t="s">
        <v>282</v>
      </c>
      <c r="C76" t="s">
        <v>16</v>
      </c>
      <c r="D76" t="s">
        <v>17</v>
      </c>
      <c r="E76">
        <v>59458.78</v>
      </c>
      <c r="F76" t="str">
        <f t="shared" si="1"/>
        <v>110A_LINDAS E CHIC'S</v>
      </c>
    </row>
    <row r="77" spans="1:6" x14ac:dyDescent="0.3">
      <c r="A77" s="2">
        <v>45474</v>
      </c>
      <c r="B77" t="s">
        <v>282</v>
      </c>
      <c r="C77">
        <v>114</v>
      </c>
      <c r="D77" t="s">
        <v>18</v>
      </c>
      <c r="E77">
        <v>67263.62</v>
      </c>
      <c r="F77" t="str">
        <f t="shared" si="1"/>
        <v>114_LANCHONETE LONDRES</v>
      </c>
    </row>
    <row r="78" spans="1:6" x14ac:dyDescent="0.3">
      <c r="A78" s="2">
        <v>45474</v>
      </c>
      <c r="B78" t="s">
        <v>282</v>
      </c>
      <c r="C78" t="s">
        <v>19</v>
      </c>
      <c r="D78" t="s">
        <v>20</v>
      </c>
      <c r="E78">
        <v>14408.68</v>
      </c>
      <c r="F78" t="str">
        <f t="shared" si="1"/>
        <v>125-127_INSTITUTO GOURMET</v>
      </c>
    </row>
    <row r="79" spans="1:6" x14ac:dyDescent="0.3">
      <c r="A79" s="2">
        <v>45474</v>
      </c>
      <c r="B79" t="s">
        <v>282</v>
      </c>
      <c r="C79">
        <v>2006</v>
      </c>
      <c r="D79" t="s">
        <v>24</v>
      </c>
      <c r="E79">
        <v>39450.46</v>
      </c>
      <c r="F79" t="str">
        <f t="shared" si="1"/>
        <v>2006_GRUPO APF EMPRESARIAL</v>
      </c>
    </row>
    <row r="80" spans="1:6" x14ac:dyDescent="0.3">
      <c r="A80" s="2">
        <v>45474</v>
      </c>
      <c r="B80" t="s">
        <v>282</v>
      </c>
      <c r="C80" t="s">
        <v>25</v>
      </c>
      <c r="D80" t="s">
        <v>26</v>
      </c>
      <c r="E80">
        <v>110607.85</v>
      </c>
      <c r="F80" t="str">
        <f t="shared" si="1"/>
        <v>2007/2008_MULTICAPAS</v>
      </c>
    </row>
    <row r="81" spans="1:6" x14ac:dyDescent="0.3">
      <c r="A81" s="2">
        <v>45474</v>
      </c>
      <c r="B81" t="s">
        <v>282</v>
      </c>
      <c r="C81">
        <v>2023</v>
      </c>
      <c r="D81" t="s">
        <v>27</v>
      </c>
      <c r="E81">
        <v>11672</v>
      </c>
      <c r="F81" t="str">
        <f t="shared" si="1"/>
        <v>2023_SER ORIGINAL</v>
      </c>
    </row>
    <row r="82" spans="1:6" x14ac:dyDescent="0.3">
      <c r="A82" s="2">
        <v>45474</v>
      </c>
      <c r="B82" t="s">
        <v>282</v>
      </c>
      <c r="C82">
        <v>2040</v>
      </c>
      <c r="D82" t="s">
        <v>28</v>
      </c>
      <c r="E82">
        <v>10681.7</v>
      </c>
      <c r="F82" t="str">
        <f t="shared" si="1"/>
        <v>2040_THALES FOTOGRAFIA</v>
      </c>
    </row>
    <row r="83" spans="1:6" x14ac:dyDescent="0.3">
      <c r="A83" s="2">
        <v>45474</v>
      </c>
      <c r="B83" t="s">
        <v>282</v>
      </c>
      <c r="C83">
        <v>223</v>
      </c>
      <c r="D83" t="s">
        <v>29</v>
      </c>
      <c r="E83">
        <v>30342.52</v>
      </c>
      <c r="F83" t="str">
        <f t="shared" si="1"/>
        <v>223_ALPHABETO</v>
      </c>
    </row>
    <row r="84" spans="1:6" x14ac:dyDescent="0.3">
      <c r="A84" s="2">
        <v>45474</v>
      </c>
      <c r="B84" t="s">
        <v>282</v>
      </c>
      <c r="C84">
        <v>235</v>
      </c>
      <c r="D84" t="s">
        <v>31</v>
      </c>
      <c r="E84">
        <v>56263.02</v>
      </c>
      <c r="F84" t="str">
        <f t="shared" si="1"/>
        <v>235_MARISA</v>
      </c>
    </row>
    <row r="85" spans="1:6" x14ac:dyDescent="0.3">
      <c r="A85" s="2">
        <v>45474</v>
      </c>
      <c r="B85" t="s">
        <v>282</v>
      </c>
      <c r="C85">
        <v>237</v>
      </c>
      <c r="D85" t="s">
        <v>102</v>
      </c>
      <c r="E85">
        <v>278.51</v>
      </c>
      <c r="F85" t="str">
        <f t="shared" si="1"/>
        <v>237_JD SKATE</v>
      </c>
    </row>
    <row r="86" spans="1:6" x14ac:dyDescent="0.3">
      <c r="A86" s="2">
        <v>45474</v>
      </c>
      <c r="B86" t="s">
        <v>282</v>
      </c>
      <c r="C86">
        <v>246</v>
      </c>
      <c r="D86" t="s">
        <v>32</v>
      </c>
      <c r="E86">
        <v>78355.16</v>
      </c>
      <c r="F86" t="str">
        <f t="shared" si="1"/>
        <v>246_AMERICANAS</v>
      </c>
    </row>
    <row r="87" spans="1:6" x14ac:dyDescent="0.3">
      <c r="A87" s="2">
        <v>45474</v>
      </c>
      <c r="B87" t="s">
        <v>282</v>
      </c>
      <c r="C87">
        <v>260</v>
      </c>
      <c r="D87" t="s">
        <v>34</v>
      </c>
      <c r="E87">
        <v>59712.54</v>
      </c>
      <c r="F87" t="str">
        <f t="shared" si="1"/>
        <v>260_NEO JÓIAS</v>
      </c>
    </row>
    <row r="88" spans="1:6" x14ac:dyDescent="0.3">
      <c r="A88" s="2">
        <v>45474</v>
      </c>
      <c r="B88" t="s">
        <v>282</v>
      </c>
      <c r="C88">
        <v>262</v>
      </c>
      <c r="D88" t="s">
        <v>35</v>
      </c>
      <c r="E88">
        <v>18433.68</v>
      </c>
      <c r="F88" t="str">
        <f t="shared" si="1"/>
        <v>262_LOJA DO GALO</v>
      </c>
    </row>
    <row r="89" spans="1:6" x14ac:dyDescent="0.3">
      <c r="A89" s="2">
        <v>45474</v>
      </c>
      <c r="B89" t="s">
        <v>282</v>
      </c>
      <c r="C89">
        <v>277</v>
      </c>
      <c r="D89" t="s">
        <v>36</v>
      </c>
      <c r="E89">
        <v>48938.06</v>
      </c>
      <c r="F89" t="str">
        <f t="shared" si="1"/>
        <v>277_DUCAPS</v>
      </c>
    </row>
    <row r="90" spans="1:6" x14ac:dyDescent="0.3">
      <c r="A90" s="2">
        <v>45474</v>
      </c>
      <c r="B90" t="s">
        <v>282</v>
      </c>
      <c r="C90">
        <v>278</v>
      </c>
      <c r="D90" t="s">
        <v>37</v>
      </c>
      <c r="E90">
        <v>40702.58</v>
      </c>
      <c r="F90" t="str">
        <f t="shared" si="1"/>
        <v>278_RF STORE</v>
      </c>
    </row>
    <row r="91" spans="1:6" x14ac:dyDescent="0.3">
      <c r="A91" s="2">
        <v>45474</v>
      </c>
      <c r="B91" t="s">
        <v>282</v>
      </c>
      <c r="C91" t="s">
        <v>38</v>
      </c>
      <c r="D91" t="s">
        <v>39</v>
      </c>
      <c r="E91">
        <v>41159.599999999999</v>
      </c>
      <c r="F91" t="str">
        <f t="shared" si="1"/>
        <v>315*_HAKUNA BATATA</v>
      </c>
    </row>
    <row r="92" spans="1:6" x14ac:dyDescent="0.3">
      <c r="A92" s="2">
        <v>45474</v>
      </c>
      <c r="B92" t="s">
        <v>282</v>
      </c>
      <c r="C92">
        <v>324</v>
      </c>
      <c r="D92" t="s">
        <v>41</v>
      </c>
      <c r="E92">
        <v>171222.25</v>
      </c>
      <c r="F92" t="str">
        <f t="shared" si="1"/>
        <v>324_MASTER GRILL</v>
      </c>
    </row>
    <row r="93" spans="1:6" x14ac:dyDescent="0.3">
      <c r="A93" s="2">
        <v>45474</v>
      </c>
      <c r="B93" t="s">
        <v>282</v>
      </c>
      <c r="C93">
        <v>329</v>
      </c>
      <c r="D93" t="s">
        <v>42</v>
      </c>
      <c r="E93">
        <v>124919.23</v>
      </c>
      <c r="F93" t="str">
        <f t="shared" si="1"/>
        <v>329_HOT GRILL</v>
      </c>
    </row>
    <row r="94" spans="1:6" x14ac:dyDescent="0.3">
      <c r="A94" s="2">
        <v>45474</v>
      </c>
      <c r="B94" t="s">
        <v>282</v>
      </c>
      <c r="C94">
        <v>332</v>
      </c>
      <c r="D94" t="s">
        <v>43</v>
      </c>
      <c r="E94">
        <v>111560.66</v>
      </c>
      <c r="F94" t="str">
        <f t="shared" si="1"/>
        <v>332_SPOLETO</v>
      </c>
    </row>
    <row r="95" spans="1:6" x14ac:dyDescent="0.3">
      <c r="A95" s="2">
        <v>45474</v>
      </c>
      <c r="B95" t="s">
        <v>282</v>
      </c>
      <c r="C95">
        <v>410</v>
      </c>
      <c r="D95" t="s">
        <v>44</v>
      </c>
      <c r="E95">
        <v>24191.79</v>
      </c>
      <c r="F95" t="str">
        <f t="shared" si="1"/>
        <v>410_COLÉGIO METRÓPOLE</v>
      </c>
    </row>
    <row r="96" spans="1:6" x14ac:dyDescent="0.3">
      <c r="A96" s="2">
        <v>45474</v>
      </c>
      <c r="B96" t="s">
        <v>282</v>
      </c>
      <c r="C96">
        <v>417</v>
      </c>
      <c r="D96" t="s">
        <v>45</v>
      </c>
      <c r="E96">
        <v>175164.69</v>
      </c>
      <c r="F96" t="str">
        <f t="shared" si="1"/>
        <v>417_BELEZA NATURAL</v>
      </c>
    </row>
    <row r="97" spans="1:6" x14ac:dyDescent="0.3">
      <c r="A97" s="2">
        <v>45474</v>
      </c>
      <c r="B97" t="s">
        <v>282</v>
      </c>
      <c r="C97">
        <v>418</v>
      </c>
      <c r="D97" t="s">
        <v>46</v>
      </c>
      <c r="E97">
        <v>638784.6</v>
      </c>
      <c r="F97" t="str">
        <f t="shared" si="1"/>
        <v>418_TOQUE NATURAL</v>
      </c>
    </row>
    <row r="98" spans="1:6" x14ac:dyDescent="0.3">
      <c r="A98" s="2">
        <v>45474</v>
      </c>
      <c r="B98" t="s">
        <v>282</v>
      </c>
      <c r="C98" t="s">
        <v>47</v>
      </c>
      <c r="D98" t="s">
        <v>48</v>
      </c>
      <c r="E98">
        <v>1513.96</v>
      </c>
      <c r="F98" t="str">
        <f t="shared" si="1"/>
        <v>D14_DEPÓSITO LINDAS E CHIC'S</v>
      </c>
    </row>
    <row r="99" spans="1:6" x14ac:dyDescent="0.3">
      <c r="A99" s="2">
        <v>45474</v>
      </c>
      <c r="B99" t="s">
        <v>282</v>
      </c>
      <c r="C99" t="s">
        <v>103</v>
      </c>
      <c r="D99" t="s">
        <v>104</v>
      </c>
      <c r="E99">
        <v>500</v>
      </c>
      <c r="F99" t="str">
        <f t="shared" si="1"/>
        <v>D2_MAGIC COTTON - DEPÓSITO</v>
      </c>
    </row>
    <row r="100" spans="1:6" x14ac:dyDescent="0.3">
      <c r="A100" s="2">
        <v>45474</v>
      </c>
      <c r="B100" t="s">
        <v>282</v>
      </c>
      <c r="C100" t="s">
        <v>51</v>
      </c>
      <c r="D100" t="s">
        <v>52</v>
      </c>
      <c r="E100">
        <v>8642.59</v>
      </c>
      <c r="F100" t="str">
        <f t="shared" si="1"/>
        <v>E01_AUTOCENTRO CONFIAR</v>
      </c>
    </row>
    <row r="101" spans="1:6" x14ac:dyDescent="0.3">
      <c r="A101" s="2">
        <v>45474</v>
      </c>
      <c r="B101" t="s">
        <v>282</v>
      </c>
      <c r="C101" t="s">
        <v>53</v>
      </c>
      <c r="D101" t="s">
        <v>54</v>
      </c>
      <c r="E101">
        <v>24500</v>
      </c>
      <c r="F101" t="str">
        <f t="shared" si="1"/>
        <v>M041_PLACA NOVOS HORIZONTES</v>
      </c>
    </row>
    <row r="102" spans="1:6" x14ac:dyDescent="0.3">
      <c r="A102" s="2">
        <v>45474</v>
      </c>
      <c r="B102" t="s">
        <v>282</v>
      </c>
      <c r="C102" t="s">
        <v>105</v>
      </c>
      <c r="D102" t="s">
        <v>106</v>
      </c>
      <c r="E102">
        <v>1000</v>
      </c>
      <c r="F102" t="str">
        <f t="shared" si="1"/>
        <v>MIN04_SER ORIGINAL - MÍDIA INAUGURAL</v>
      </c>
    </row>
    <row r="103" spans="1:6" x14ac:dyDescent="0.3">
      <c r="A103" s="2">
        <v>45474</v>
      </c>
      <c r="B103" t="s">
        <v>282</v>
      </c>
      <c r="C103" t="s">
        <v>107</v>
      </c>
      <c r="D103" t="s">
        <v>108</v>
      </c>
      <c r="E103">
        <v>2000</v>
      </c>
      <c r="F103" t="str">
        <f t="shared" si="1"/>
        <v>MIN10_MARVILLE - MÍDIA</v>
      </c>
    </row>
    <row r="104" spans="1:6" x14ac:dyDescent="0.3">
      <c r="A104" s="2">
        <v>45474</v>
      </c>
      <c r="B104" t="s">
        <v>282</v>
      </c>
      <c r="C104" t="s">
        <v>59</v>
      </c>
      <c r="D104" t="s">
        <v>60</v>
      </c>
      <c r="E104">
        <v>35946.86</v>
      </c>
      <c r="F104" t="str">
        <f t="shared" si="1"/>
        <v>P202_LP IMPORTS</v>
      </c>
    </row>
    <row r="105" spans="1:6" x14ac:dyDescent="0.3">
      <c r="A105" s="2">
        <v>45474</v>
      </c>
      <c r="B105" t="s">
        <v>282</v>
      </c>
      <c r="C105" t="s">
        <v>61</v>
      </c>
      <c r="D105" t="s">
        <v>62</v>
      </c>
      <c r="E105">
        <v>24220.09</v>
      </c>
      <c r="F105" t="str">
        <f t="shared" si="1"/>
        <v>P204_LONDRES</v>
      </c>
    </row>
    <row r="106" spans="1:6" x14ac:dyDescent="0.3">
      <c r="A106" s="2">
        <v>45474</v>
      </c>
      <c r="B106" t="s">
        <v>282</v>
      </c>
      <c r="C106" t="s">
        <v>65</v>
      </c>
      <c r="D106" t="s">
        <v>66</v>
      </c>
      <c r="E106">
        <v>14826.88</v>
      </c>
      <c r="F106" t="str">
        <f t="shared" si="1"/>
        <v>Q109_PRAÇAÍ</v>
      </c>
    </row>
    <row r="107" spans="1:6" x14ac:dyDescent="0.3">
      <c r="A107" s="2">
        <v>45474</v>
      </c>
      <c r="B107" t="s">
        <v>282</v>
      </c>
      <c r="C107" t="s">
        <v>67</v>
      </c>
      <c r="D107" t="s">
        <v>68</v>
      </c>
      <c r="E107">
        <v>5423.22</v>
      </c>
      <c r="F107" t="str">
        <f t="shared" si="1"/>
        <v>Q113_ESTAÇÃO HOT DOG</v>
      </c>
    </row>
    <row r="108" spans="1:6" x14ac:dyDescent="0.3">
      <c r="A108" s="2">
        <v>45474</v>
      </c>
      <c r="B108" t="s">
        <v>282</v>
      </c>
      <c r="C108" t="s">
        <v>69</v>
      </c>
      <c r="D108" t="s">
        <v>66</v>
      </c>
      <c r="E108">
        <v>10318.84</v>
      </c>
      <c r="F108" t="str">
        <f t="shared" si="1"/>
        <v>Q124_PRAÇAÍ</v>
      </c>
    </row>
    <row r="109" spans="1:6" x14ac:dyDescent="0.3">
      <c r="A109" s="2">
        <v>45474</v>
      </c>
      <c r="B109" t="s">
        <v>282</v>
      </c>
      <c r="C109" t="s">
        <v>70</v>
      </c>
      <c r="D109" t="s">
        <v>71</v>
      </c>
      <c r="E109">
        <v>32915.67</v>
      </c>
      <c r="F109" t="str">
        <f t="shared" si="1"/>
        <v>Q128_M &amp; CREPES</v>
      </c>
    </row>
    <row r="110" spans="1:6" x14ac:dyDescent="0.3">
      <c r="A110" s="2">
        <v>45474</v>
      </c>
      <c r="B110" t="s">
        <v>283</v>
      </c>
      <c r="C110">
        <v>103</v>
      </c>
      <c r="D110" t="s">
        <v>74</v>
      </c>
      <c r="E110">
        <v>60475.350000000013</v>
      </c>
      <c r="F110" t="str">
        <f t="shared" si="1"/>
        <v>103_MERCADO DO CARRO</v>
      </c>
    </row>
    <row r="111" spans="1:6" x14ac:dyDescent="0.3">
      <c r="A111" s="2">
        <v>45474</v>
      </c>
      <c r="B111" t="s">
        <v>283</v>
      </c>
      <c r="C111" t="s">
        <v>75</v>
      </c>
      <c r="D111" t="s">
        <v>76</v>
      </c>
      <c r="E111">
        <v>139883.07</v>
      </c>
      <c r="F111" t="str">
        <f t="shared" si="1"/>
        <v>105/106_DOMINO'S PIZZA</v>
      </c>
    </row>
    <row r="112" spans="1:6" x14ac:dyDescent="0.3">
      <c r="A112" s="2">
        <v>45474</v>
      </c>
      <c r="B112" t="s">
        <v>283</v>
      </c>
      <c r="C112">
        <v>109</v>
      </c>
      <c r="D112" t="s">
        <v>77</v>
      </c>
      <c r="E112">
        <v>175509.44</v>
      </c>
      <c r="F112" t="str">
        <f t="shared" si="1"/>
        <v>109_AÇAFRÃO DA TERRA</v>
      </c>
    </row>
    <row r="113" spans="1:6" x14ac:dyDescent="0.3">
      <c r="A113" s="2">
        <v>45474</v>
      </c>
      <c r="B113" t="s">
        <v>283</v>
      </c>
      <c r="C113">
        <v>119</v>
      </c>
      <c r="D113" t="s">
        <v>78</v>
      </c>
      <c r="E113">
        <v>8797.66</v>
      </c>
      <c r="F113" t="str">
        <f t="shared" si="1"/>
        <v>119_CACAU SHOW</v>
      </c>
    </row>
    <row r="114" spans="1:6" x14ac:dyDescent="0.3">
      <c r="A114" s="2">
        <v>45474</v>
      </c>
      <c r="B114" t="s">
        <v>283</v>
      </c>
      <c r="C114">
        <v>121</v>
      </c>
      <c r="D114" t="s">
        <v>79</v>
      </c>
      <c r="E114">
        <v>6151.52</v>
      </c>
      <c r="F114" t="str">
        <f t="shared" si="1"/>
        <v>121_JV TEC</v>
      </c>
    </row>
    <row r="115" spans="1:6" x14ac:dyDescent="0.3">
      <c r="A115" s="2">
        <v>45474</v>
      </c>
      <c r="B115" t="s">
        <v>283</v>
      </c>
      <c r="C115">
        <v>216</v>
      </c>
      <c r="D115" t="s">
        <v>80</v>
      </c>
      <c r="E115">
        <v>21215.75</v>
      </c>
      <c r="F115" t="str">
        <f t="shared" si="1"/>
        <v>216_.SHOES</v>
      </c>
    </row>
    <row r="116" spans="1:6" x14ac:dyDescent="0.3">
      <c r="A116" s="2">
        <v>45474</v>
      </c>
      <c r="B116" t="s">
        <v>283</v>
      </c>
      <c r="C116">
        <v>303</v>
      </c>
      <c r="D116" t="s">
        <v>81</v>
      </c>
      <c r="E116">
        <v>29443.16</v>
      </c>
      <c r="F116" t="str">
        <f t="shared" si="1"/>
        <v>303_BABALOO ACESSÓRIOS</v>
      </c>
    </row>
    <row r="117" spans="1:6" x14ac:dyDescent="0.3">
      <c r="A117" s="2">
        <v>45474</v>
      </c>
      <c r="B117" t="s">
        <v>283</v>
      </c>
      <c r="C117">
        <v>305</v>
      </c>
      <c r="D117" t="s">
        <v>109</v>
      </c>
      <c r="E117">
        <v>5484.71</v>
      </c>
      <c r="F117" t="str">
        <f t="shared" si="1"/>
        <v>305_H.</v>
      </c>
    </row>
    <row r="118" spans="1:6" x14ac:dyDescent="0.3">
      <c r="A118" s="2">
        <v>45474</v>
      </c>
      <c r="B118" t="s">
        <v>283</v>
      </c>
      <c r="C118" t="s">
        <v>82</v>
      </c>
      <c r="D118" t="s">
        <v>83</v>
      </c>
      <c r="E118">
        <v>6928.75</v>
      </c>
      <c r="F118" t="str">
        <f t="shared" si="1"/>
        <v>307._VIVIANE LOSCHA</v>
      </c>
    </row>
    <row r="119" spans="1:6" x14ac:dyDescent="0.3">
      <c r="A119" s="2">
        <v>45474</v>
      </c>
      <c r="B119" t="s">
        <v>283</v>
      </c>
      <c r="C119">
        <v>313</v>
      </c>
      <c r="D119" t="s">
        <v>84</v>
      </c>
      <c r="E119">
        <v>88762.95</v>
      </c>
      <c r="F119" t="str">
        <f t="shared" si="1"/>
        <v>313_FATO A MANO FEMININO</v>
      </c>
    </row>
    <row r="120" spans="1:6" x14ac:dyDescent="0.3">
      <c r="A120" s="2">
        <v>45474</v>
      </c>
      <c r="B120" t="s">
        <v>283</v>
      </c>
      <c r="C120">
        <v>317</v>
      </c>
      <c r="D120" t="s">
        <v>85</v>
      </c>
      <c r="E120">
        <v>41193.050000000003</v>
      </c>
      <c r="F120" t="str">
        <f t="shared" si="1"/>
        <v>317_FLOW</v>
      </c>
    </row>
    <row r="121" spans="1:6" x14ac:dyDescent="0.3">
      <c r="A121" s="2">
        <v>45474</v>
      </c>
      <c r="B121" t="s">
        <v>283</v>
      </c>
      <c r="C121">
        <v>344</v>
      </c>
      <c r="D121" t="s">
        <v>86</v>
      </c>
      <c r="E121">
        <v>28825.42</v>
      </c>
      <c r="F121" t="str">
        <f t="shared" si="1"/>
        <v>344_BY BLITZ</v>
      </c>
    </row>
    <row r="122" spans="1:6" x14ac:dyDescent="0.3">
      <c r="A122" s="2">
        <v>45474</v>
      </c>
      <c r="B122" t="s">
        <v>283</v>
      </c>
      <c r="C122" t="s">
        <v>110</v>
      </c>
      <c r="D122" t="s">
        <v>111</v>
      </c>
      <c r="E122">
        <v>3609.58</v>
      </c>
      <c r="F122" t="str">
        <f t="shared" si="1"/>
        <v>Q104_MCDONALD'S</v>
      </c>
    </row>
    <row r="123" spans="1:6" x14ac:dyDescent="0.3">
      <c r="A123" s="2">
        <v>45474</v>
      </c>
      <c r="B123" t="s">
        <v>283</v>
      </c>
      <c r="C123" t="s">
        <v>87</v>
      </c>
      <c r="D123" t="s">
        <v>88</v>
      </c>
      <c r="E123">
        <v>58994.89</v>
      </c>
      <c r="F123" t="str">
        <f t="shared" si="1"/>
        <v>Q111_CIA DA EMPADA</v>
      </c>
    </row>
    <row r="124" spans="1:6" x14ac:dyDescent="0.3">
      <c r="A124" s="2">
        <v>45474</v>
      </c>
      <c r="B124" t="s">
        <v>283</v>
      </c>
      <c r="C124" t="s">
        <v>89</v>
      </c>
      <c r="D124" t="s">
        <v>90</v>
      </c>
      <c r="E124">
        <v>33094.82</v>
      </c>
      <c r="F124" t="str">
        <f t="shared" si="1"/>
        <v>Q115A_JAH DO AÇAÍ</v>
      </c>
    </row>
    <row r="125" spans="1:6" x14ac:dyDescent="0.3">
      <c r="A125" s="2">
        <v>45474</v>
      </c>
      <c r="B125" t="s">
        <v>283</v>
      </c>
      <c r="C125" t="s">
        <v>91</v>
      </c>
      <c r="D125" t="s">
        <v>92</v>
      </c>
      <c r="E125">
        <v>5995.4400000000014</v>
      </c>
      <c r="F125" t="str">
        <f t="shared" si="1"/>
        <v>Q135_PELE DE BONECA MAKE UP</v>
      </c>
    </row>
    <row r="126" spans="1:6" x14ac:dyDescent="0.3">
      <c r="A126" s="2">
        <v>45474</v>
      </c>
      <c r="B126" t="s">
        <v>283</v>
      </c>
      <c r="C126" t="s">
        <v>93</v>
      </c>
      <c r="D126" t="s">
        <v>94</v>
      </c>
      <c r="E126">
        <v>118387.4</v>
      </c>
      <c r="F126" t="str">
        <f t="shared" si="1"/>
        <v>S1 E S2_PRATIQUE FITNESS</v>
      </c>
    </row>
    <row r="127" spans="1:6" x14ac:dyDescent="0.3">
      <c r="A127" s="2">
        <v>45474</v>
      </c>
      <c r="B127" t="s">
        <v>283</v>
      </c>
      <c r="C127" t="s">
        <v>95</v>
      </c>
      <c r="D127" t="s">
        <v>32</v>
      </c>
      <c r="E127">
        <v>45410.69</v>
      </c>
      <c r="F127" t="str">
        <f t="shared" si="1"/>
        <v>S200_AMERICANAS</v>
      </c>
    </row>
    <row r="128" spans="1:6" x14ac:dyDescent="0.3">
      <c r="A128" s="2">
        <v>45474</v>
      </c>
      <c r="B128" t="s">
        <v>283</v>
      </c>
      <c r="C128" t="s">
        <v>96</v>
      </c>
      <c r="D128" t="s">
        <v>97</v>
      </c>
      <c r="E128">
        <v>73125.91</v>
      </c>
      <c r="F128" t="str">
        <f t="shared" si="1"/>
        <v>S206_AQUA FAM</v>
      </c>
    </row>
    <row r="129" spans="1:6" x14ac:dyDescent="0.3">
      <c r="A129" s="2">
        <v>45474</v>
      </c>
      <c r="B129" t="s">
        <v>283</v>
      </c>
      <c r="C129" t="s">
        <v>98</v>
      </c>
      <c r="D129" t="s">
        <v>99</v>
      </c>
      <c r="E129">
        <v>510.8</v>
      </c>
      <c r="F129" t="str">
        <f t="shared" si="1"/>
        <v>S207/208_ROSEANE ANJOS ACADEMY</v>
      </c>
    </row>
    <row r="130" spans="1:6" x14ac:dyDescent="0.3">
      <c r="A130" s="2">
        <v>45474</v>
      </c>
      <c r="B130" t="s">
        <v>283</v>
      </c>
      <c r="C130" t="s">
        <v>100</v>
      </c>
      <c r="D130" t="s">
        <v>101</v>
      </c>
      <c r="E130">
        <v>951.18000000000006</v>
      </c>
      <c r="F130" t="str">
        <f t="shared" si="1"/>
        <v>S220._BARATO E FÁCIL</v>
      </c>
    </row>
    <row r="131" spans="1:6" x14ac:dyDescent="0.3">
      <c r="A131" s="2">
        <v>45505</v>
      </c>
      <c r="B131" t="s">
        <v>282</v>
      </c>
      <c r="C131">
        <v>1001</v>
      </c>
      <c r="D131" t="s">
        <v>3</v>
      </c>
      <c r="E131">
        <v>372195.08</v>
      </c>
      <c r="F131" t="str">
        <f t="shared" ref="F131:F194" si="2">C131&amp;"_"&amp;D131</f>
        <v>1001_CENTRO UNIVERSITÁRIO UNIHORIZONTES</v>
      </c>
    </row>
    <row r="132" spans="1:6" x14ac:dyDescent="0.3">
      <c r="A132" s="2">
        <v>45505</v>
      </c>
      <c r="B132" t="s">
        <v>282</v>
      </c>
      <c r="C132" t="s">
        <v>4</v>
      </c>
      <c r="D132" t="s">
        <v>5</v>
      </c>
      <c r="E132">
        <v>786.48</v>
      </c>
      <c r="F132" t="str">
        <f t="shared" si="2"/>
        <v>1001A_FACULDADE NOVOS HORIZONTES</v>
      </c>
    </row>
    <row r="133" spans="1:6" x14ac:dyDescent="0.3">
      <c r="A133" s="2">
        <v>45505</v>
      </c>
      <c r="B133" t="s">
        <v>282</v>
      </c>
      <c r="C133" t="s">
        <v>7</v>
      </c>
      <c r="D133" t="s">
        <v>8</v>
      </c>
      <c r="E133">
        <v>167535.85</v>
      </c>
      <c r="F133" t="str">
        <f t="shared" si="2"/>
        <v>1015B_LASER FAST DEPILAÇÃO</v>
      </c>
    </row>
    <row r="134" spans="1:6" x14ac:dyDescent="0.3">
      <c r="A134" s="2">
        <v>45505</v>
      </c>
      <c r="B134" t="s">
        <v>282</v>
      </c>
      <c r="C134">
        <v>1027</v>
      </c>
      <c r="D134" t="s">
        <v>9</v>
      </c>
      <c r="E134">
        <v>32644.51</v>
      </c>
      <c r="F134" t="str">
        <f t="shared" si="2"/>
        <v>1027_SAÚDE COM VOCÊ</v>
      </c>
    </row>
    <row r="135" spans="1:6" x14ac:dyDescent="0.3">
      <c r="A135" s="2">
        <v>45505</v>
      </c>
      <c r="B135" t="s">
        <v>282</v>
      </c>
      <c r="C135" t="s">
        <v>12</v>
      </c>
      <c r="D135" t="s">
        <v>13</v>
      </c>
      <c r="E135">
        <v>13947.45</v>
      </c>
      <c r="F135" t="str">
        <f t="shared" si="2"/>
        <v>1029._BELLAS UNHAS</v>
      </c>
    </row>
    <row r="136" spans="1:6" x14ac:dyDescent="0.3">
      <c r="A136" s="2">
        <v>45505</v>
      </c>
      <c r="B136" t="s">
        <v>282</v>
      </c>
      <c r="C136" t="s">
        <v>14</v>
      </c>
      <c r="D136" t="s">
        <v>15</v>
      </c>
      <c r="E136">
        <v>69921.260000000009</v>
      </c>
      <c r="F136" t="str">
        <f t="shared" si="2"/>
        <v>106A_TUDO DELAS MAKEUP</v>
      </c>
    </row>
    <row r="137" spans="1:6" x14ac:dyDescent="0.3">
      <c r="A137" s="2">
        <v>45505</v>
      </c>
      <c r="B137" t="s">
        <v>282</v>
      </c>
      <c r="C137" t="s">
        <v>16</v>
      </c>
      <c r="D137" t="s">
        <v>17</v>
      </c>
      <c r="E137">
        <v>69533.38</v>
      </c>
      <c r="F137" t="str">
        <f t="shared" si="2"/>
        <v>110A_LINDAS E CHIC'S</v>
      </c>
    </row>
    <row r="138" spans="1:6" x14ac:dyDescent="0.3">
      <c r="A138" s="2">
        <v>45505</v>
      </c>
      <c r="B138" t="s">
        <v>282</v>
      </c>
      <c r="C138">
        <v>114</v>
      </c>
      <c r="D138" t="s">
        <v>18</v>
      </c>
      <c r="E138">
        <v>63763.62</v>
      </c>
      <c r="F138" t="str">
        <f t="shared" si="2"/>
        <v>114_LANCHONETE LONDRES</v>
      </c>
    </row>
    <row r="139" spans="1:6" x14ac:dyDescent="0.3">
      <c r="A139" s="2">
        <v>45505</v>
      </c>
      <c r="B139" t="s">
        <v>282</v>
      </c>
      <c r="C139" t="s">
        <v>19</v>
      </c>
      <c r="D139" t="s">
        <v>20</v>
      </c>
      <c r="E139">
        <v>11526.94</v>
      </c>
      <c r="F139" t="str">
        <f t="shared" si="2"/>
        <v>125-127_INSTITUTO GOURMET</v>
      </c>
    </row>
    <row r="140" spans="1:6" x14ac:dyDescent="0.3">
      <c r="A140" s="2">
        <v>45505</v>
      </c>
      <c r="B140" t="s">
        <v>282</v>
      </c>
      <c r="C140">
        <v>138</v>
      </c>
      <c r="D140" t="s">
        <v>112</v>
      </c>
      <c r="E140">
        <v>13591.09</v>
      </c>
      <c r="F140" t="str">
        <f t="shared" si="2"/>
        <v>138_CREPERIA</v>
      </c>
    </row>
    <row r="141" spans="1:6" x14ac:dyDescent="0.3">
      <c r="A141" s="2">
        <v>45505</v>
      </c>
      <c r="B141" t="s">
        <v>282</v>
      </c>
      <c r="C141">
        <v>2004</v>
      </c>
      <c r="D141" t="s">
        <v>23</v>
      </c>
      <c r="E141">
        <v>9598.41</v>
      </c>
      <c r="F141" t="str">
        <f t="shared" si="2"/>
        <v>2004_CAFÉ IMPERIAL</v>
      </c>
    </row>
    <row r="142" spans="1:6" x14ac:dyDescent="0.3">
      <c r="A142" s="2">
        <v>45505</v>
      </c>
      <c r="B142" t="s">
        <v>282</v>
      </c>
      <c r="C142">
        <v>2006</v>
      </c>
      <c r="D142" t="s">
        <v>24</v>
      </c>
      <c r="E142">
        <v>41710.78</v>
      </c>
      <c r="F142" t="str">
        <f t="shared" si="2"/>
        <v>2006_GRUPO APF EMPRESARIAL</v>
      </c>
    </row>
    <row r="143" spans="1:6" x14ac:dyDescent="0.3">
      <c r="A143" s="2">
        <v>45505</v>
      </c>
      <c r="B143" t="s">
        <v>282</v>
      </c>
      <c r="C143" t="s">
        <v>25</v>
      </c>
      <c r="D143" t="s">
        <v>26</v>
      </c>
      <c r="E143">
        <v>101767.41</v>
      </c>
      <c r="F143" t="str">
        <f t="shared" si="2"/>
        <v>2007/2008_MULTICAPAS</v>
      </c>
    </row>
    <row r="144" spans="1:6" x14ac:dyDescent="0.3">
      <c r="A144" s="2">
        <v>45505</v>
      </c>
      <c r="B144" t="s">
        <v>282</v>
      </c>
      <c r="C144">
        <v>2023</v>
      </c>
      <c r="D144" t="s">
        <v>27</v>
      </c>
      <c r="E144">
        <v>18182.16</v>
      </c>
      <c r="F144" t="str">
        <f t="shared" si="2"/>
        <v>2023_SER ORIGINAL</v>
      </c>
    </row>
    <row r="145" spans="1:6" x14ac:dyDescent="0.3">
      <c r="A145" s="2">
        <v>45505</v>
      </c>
      <c r="B145" t="s">
        <v>282</v>
      </c>
      <c r="C145">
        <v>2040</v>
      </c>
      <c r="D145" t="s">
        <v>28</v>
      </c>
      <c r="E145">
        <v>9791.5500000000011</v>
      </c>
      <c r="F145" t="str">
        <f t="shared" si="2"/>
        <v>2040_THALES FOTOGRAFIA</v>
      </c>
    </row>
    <row r="146" spans="1:6" x14ac:dyDescent="0.3">
      <c r="A146" s="2">
        <v>45505</v>
      </c>
      <c r="B146" t="s">
        <v>282</v>
      </c>
      <c r="C146">
        <v>208</v>
      </c>
      <c r="D146" t="s">
        <v>113</v>
      </c>
      <c r="E146">
        <v>8677.1200000000008</v>
      </c>
      <c r="F146" t="str">
        <f t="shared" si="2"/>
        <v>208_MARVILLE</v>
      </c>
    </row>
    <row r="147" spans="1:6" x14ac:dyDescent="0.3">
      <c r="A147" s="2">
        <v>45505</v>
      </c>
      <c r="B147" t="s">
        <v>282</v>
      </c>
      <c r="C147">
        <v>223</v>
      </c>
      <c r="D147" t="s">
        <v>29</v>
      </c>
      <c r="E147">
        <v>23206.799999999999</v>
      </c>
      <c r="F147" t="str">
        <f t="shared" si="2"/>
        <v>223_ALPHABETO</v>
      </c>
    </row>
    <row r="148" spans="1:6" x14ac:dyDescent="0.3">
      <c r="A148" s="2">
        <v>45505</v>
      </c>
      <c r="B148" t="s">
        <v>282</v>
      </c>
      <c r="C148">
        <v>235</v>
      </c>
      <c r="D148" t="s">
        <v>31</v>
      </c>
      <c r="E148">
        <v>68259.33</v>
      </c>
      <c r="F148" t="str">
        <f t="shared" si="2"/>
        <v>235_MARISA</v>
      </c>
    </row>
    <row r="149" spans="1:6" x14ac:dyDescent="0.3">
      <c r="A149" s="2">
        <v>45505</v>
      </c>
      <c r="B149" t="s">
        <v>282</v>
      </c>
      <c r="C149">
        <v>246</v>
      </c>
      <c r="D149" t="s">
        <v>32</v>
      </c>
      <c r="E149">
        <v>75158.200000000012</v>
      </c>
      <c r="F149" t="str">
        <f t="shared" si="2"/>
        <v>246_AMERICANAS</v>
      </c>
    </row>
    <row r="150" spans="1:6" x14ac:dyDescent="0.3">
      <c r="A150" s="2">
        <v>45505</v>
      </c>
      <c r="B150" t="s">
        <v>282</v>
      </c>
      <c r="C150">
        <v>260</v>
      </c>
      <c r="D150" t="s">
        <v>34</v>
      </c>
      <c r="E150">
        <v>72306.400000000009</v>
      </c>
      <c r="F150" t="str">
        <f t="shared" si="2"/>
        <v>260_NEO JÓIAS</v>
      </c>
    </row>
    <row r="151" spans="1:6" x14ac:dyDescent="0.3">
      <c r="A151" s="2">
        <v>45505</v>
      </c>
      <c r="B151" t="s">
        <v>282</v>
      </c>
      <c r="C151">
        <v>262</v>
      </c>
      <c r="D151" t="s">
        <v>35</v>
      </c>
      <c r="E151">
        <v>21117.46</v>
      </c>
      <c r="F151" t="str">
        <f t="shared" si="2"/>
        <v>262_LOJA DO GALO</v>
      </c>
    </row>
    <row r="152" spans="1:6" x14ac:dyDescent="0.3">
      <c r="A152" s="2">
        <v>45505</v>
      </c>
      <c r="B152" t="s">
        <v>282</v>
      </c>
      <c r="C152">
        <v>277</v>
      </c>
      <c r="D152" t="s">
        <v>36</v>
      </c>
      <c r="E152">
        <v>112156.23</v>
      </c>
      <c r="F152" t="str">
        <f t="shared" si="2"/>
        <v>277_DUCAPS</v>
      </c>
    </row>
    <row r="153" spans="1:6" x14ac:dyDescent="0.3">
      <c r="A153" s="2">
        <v>45505</v>
      </c>
      <c r="B153" t="s">
        <v>282</v>
      </c>
      <c r="C153">
        <v>278</v>
      </c>
      <c r="D153" t="s">
        <v>37</v>
      </c>
      <c r="E153">
        <v>54420.480000000003</v>
      </c>
      <c r="F153" t="str">
        <f t="shared" si="2"/>
        <v>278_RF STORE</v>
      </c>
    </row>
    <row r="154" spans="1:6" x14ac:dyDescent="0.3">
      <c r="A154" s="2">
        <v>45505</v>
      </c>
      <c r="B154" t="s">
        <v>282</v>
      </c>
      <c r="C154" t="s">
        <v>38</v>
      </c>
      <c r="D154" t="s">
        <v>39</v>
      </c>
      <c r="E154">
        <v>37043.64</v>
      </c>
      <c r="F154" t="str">
        <f t="shared" si="2"/>
        <v>315*_HAKUNA BATATA</v>
      </c>
    </row>
    <row r="155" spans="1:6" x14ac:dyDescent="0.3">
      <c r="A155" s="2">
        <v>45505</v>
      </c>
      <c r="B155" t="s">
        <v>282</v>
      </c>
      <c r="C155">
        <v>321</v>
      </c>
      <c r="D155" t="s">
        <v>40</v>
      </c>
      <c r="E155">
        <v>9786.880000000001</v>
      </c>
      <c r="F155" t="str">
        <f t="shared" si="2"/>
        <v>321_APERTE PLAY</v>
      </c>
    </row>
    <row r="156" spans="1:6" x14ac:dyDescent="0.3">
      <c r="A156" s="2">
        <v>45505</v>
      </c>
      <c r="B156" t="s">
        <v>282</v>
      </c>
      <c r="C156">
        <v>324</v>
      </c>
      <c r="D156" t="s">
        <v>41</v>
      </c>
      <c r="E156">
        <v>170022.25</v>
      </c>
      <c r="F156" t="str">
        <f t="shared" si="2"/>
        <v>324_MASTER GRILL</v>
      </c>
    </row>
    <row r="157" spans="1:6" x14ac:dyDescent="0.3">
      <c r="A157" s="2">
        <v>45505</v>
      </c>
      <c r="B157" t="s">
        <v>282</v>
      </c>
      <c r="C157">
        <v>329</v>
      </c>
      <c r="D157" t="s">
        <v>42</v>
      </c>
      <c r="E157">
        <v>136169.9</v>
      </c>
      <c r="F157" t="str">
        <f t="shared" si="2"/>
        <v>329_HOT GRILL</v>
      </c>
    </row>
    <row r="158" spans="1:6" x14ac:dyDescent="0.3">
      <c r="A158" s="2">
        <v>45505</v>
      </c>
      <c r="B158" t="s">
        <v>282</v>
      </c>
      <c r="C158">
        <v>332</v>
      </c>
      <c r="D158" t="s">
        <v>43</v>
      </c>
      <c r="E158">
        <v>94408.75</v>
      </c>
      <c r="F158" t="str">
        <f t="shared" si="2"/>
        <v>332_SPOLETO</v>
      </c>
    </row>
    <row r="159" spans="1:6" x14ac:dyDescent="0.3">
      <c r="A159" s="2">
        <v>45505</v>
      </c>
      <c r="B159" t="s">
        <v>282</v>
      </c>
      <c r="C159">
        <v>417</v>
      </c>
      <c r="D159" t="s">
        <v>45</v>
      </c>
      <c r="E159">
        <v>182820.78</v>
      </c>
      <c r="F159" t="str">
        <f t="shared" si="2"/>
        <v>417_BELEZA NATURAL</v>
      </c>
    </row>
    <row r="160" spans="1:6" x14ac:dyDescent="0.3">
      <c r="A160" s="2">
        <v>45505</v>
      </c>
      <c r="B160" t="s">
        <v>282</v>
      </c>
      <c r="C160">
        <v>418</v>
      </c>
      <c r="D160" t="s">
        <v>46</v>
      </c>
      <c r="E160">
        <v>653433.59</v>
      </c>
      <c r="F160" t="str">
        <f t="shared" si="2"/>
        <v>418_TOQUE NATURAL</v>
      </c>
    </row>
    <row r="161" spans="1:6" x14ac:dyDescent="0.3">
      <c r="A161" s="2">
        <v>45505</v>
      </c>
      <c r="B161" t="s">
        <v>282</v>
      </c>
      <c r="C161" t="s">
        <v>47</v>
      </c>
      <c r="D161" t="s">
        <v>48</v>
      </c>
      <c r="E161">
        <v>2086.63</v>
      </c>
      <c r="F161" t="str">
        <f t="shared" si="2"/>
        <v>D14_DEPÓSITO LINDAS E CHIC'S</v>
      </c>
    </row>
    <row r="162" spans="1:6" x14ac:dyDescent="0.3">
      <c r="A162" s="2">
        <v>45505</v>
      </c>
      <c r="B162" t="s">
        <v>282</v>
      </c>
      <c r="C162" t="s">
        <v>114</v>
      </c>
      <c r="D162" t="s">
        <v>115</v>
      </c>
      <c r="E162">
        <v>217.23</v>
      </c>
      <c r="F162" t="str">
        <f t="shared" si="2"/>
        <v>D17_MR. BLACK - DEPÓSITO</v>
      </c>
    </row>
    <row r="163" spans="1:6" x14ac:dyDescent="0.3">
      <c r="A163" s="2">
        <v>45505</v>
      </c>
      <c r="B163" t="s">
        <v>282</v>
      </c>
      <c r="C163" t="s">
        <v>103</v>
      </c>
      <c r="D163" t="s">
        <v>104</v>
      </c>
      <c r="E163">
        <v>500</v>
      </c>
      <c r="F163" t="str">
        <f t="shared" si="2"/>
        <v>D2_MAGIC COTTON - DEPÓSITO</v>
      </c>
    </row>
    <row r="164" spans="1:6" x14ac:dyDescent="0.3">
      <c r="A164" s="2">
        <v>45505</v>
      </c>
      <c r="B164" t="s">
        <v>282</v>
      </c>
      <c r="C164" t="s">
        <v>51</v>
      </c>
      <c r="D164" t="s">
        <v>52</v>
      </c>
      <c r="E164">
        <v>6481.9400000000014</v>
      </c>
      <c r="F164" t="str">
        <f t="shared" si="2"/>
        <v>E01_AUTOCENTRO CONFIAR</v>
      </c>
    </row>
    <row r="165" spans="1:6" x14ac:dyDescent="0.3">
      <c r="A165" s="2">
        <v>45505</v>
      </c>
      <c r="B165" t="s">
        <v>282</v>
      </c>
      <c r="C165" t="s">
        <v>53</v>
      </c>
      <c r="D165" t="s">
        <v>54</v>
      </c>
      <c r="E165">
        <v>26250</v>
      </c>
      <c r="F165" t="str">
        <f t="shared" si="2"/>
        <v>M041_PLACA NOVOS HORIZONTES</v>
      </c>
    </row>
    <row r="166" spans="1:6" x14ac:dyDescent="0.3">
      <c r="A166" s="2">
        <v>45505</v>
      </c>
      <c r="B166" t="s">
        <v>282</v>
      </c>
      <c r="C166" t="s">
        <v>116</v>
      </c>
      <c r="D166" t="s">
        <v>117</v>
      </c>
      <c r="E166">
        <v>4500</v>
      </c>
      <c r="F166" t="str">
        <f t="shared" si="2"/>
        <v>M055_MULTI COLCHÕES</v>
      </c>
    </row>
    <row r="167" spans="1:6" x14ac:dyDescent="0.3">
      <c r="A167" s="2">
        <v>45505</v>
      </c>
      <c r="B167" t="s">
        <v>282</v>
      </c>
      <c r="C167" t="s">
        <v>105</v>
      </c>
      <c r="D167" t="s">
        <v>106</v>
      </c>
      <c r="E167">
        <v>2000</v>
      </c>
      <c r="F167" t="str">
        <f t="shared" si="2"/>
        <v>MIN04_SER ORIGINAL - MÍDIA INAUGURAL</v>
      </c>
    </row>
    <row r="168" spans="1:6" x14ac:dyDescent="0.3">
      <c r="A168" s="2">
        <v>45505</v>
      </c>
      <c r="B168" t="s">
        <v>282</v>
      </c>
      <c r="C168" t="s">
        <v>107</v>
      </c>
      <c r="D168" t="s">
        <v>108</v>
      </c>
      <c r="E168">
        <v>2000</v>
      </c>
      <c r="F168" t="str">
        <f t="shared" si="2"/>
        <v>MIN10_MARVILLE - MÍDIA</v>
      </c>
    </row>
    <row r="169" spans="1:6" x14ac:dyDescent="0.3">
      <c r="A169" s="2">
        <v>45505</v>
      </c>
      <c r="B169" t="s">
        <v>282</v>
      </c>
      <c r="C169" t="s">
        <v>59</v>
      </c>
      <c r="D169" t="s">
        <v>60</v>
      </c>
      <c r="E169">
        <v>43730.25</v>
      </c>
      <c r="F169" t="str">
        <f t="shared" si="2"/>
        <v>P202_LP IMPORTS</v>
      </c>
    </row>
    <row r="170" spans="1:6" x14ac:dyDescent="0.3">
      <c r="A170" s="2">
        <v>45505</v>
      </c>
      <c r="B170" t="s">
        <v>282</v>
      </c>
      <c r="C170" t="s">
        <v>61</v>
      </c>
      <c r="D170" t="s">
        <v>62</v>
      </c>
      <c r="E170">
        <v>31062.639999999999</v>
      </c>
      <c r="F170" t="str">
        <f t="shared" si="2"/>
        <v>P204_LONDRES</v>
      </c>
    </row>
    <row r="171" spans="1:6" x14ac:dyDescent="0.3">
      <c r="A171" s="2">
        <v>45505</v>
      </c>
      <c r="B171" t="s">
        <v>282</v>
      </c>
      <c r="C171" t="s">
        <v>67</v>
      </c>
      <c r="D171" t="s">
        <v>68</v>
      </c>
      <c r="E171">
        <v>5423.22</v>
      </c>
      <c r="F171" t="str">
        <f t="shared" si="2"/>
        <v>Q113_ESTAÇÃO HOT DOG</v>
      </c>
    </row>
    <row r="172" spans="1:6" x14ac:dyDescent="0.3">
      <c r="A172" s="2">
        <v>45505</v>
      </c>
      <c r="B172" t="s">
        <v>282</v>
      </c>
      <c r="C172" t="s">
        <v>69</v>
      </c>
      <c r="D172" t="s">
        <v>66</v>
      </c>
      <c r="E172">
        <v>1960</v>
      </c>
      <c r="F172" t="str">
        <f t="shared" si="2"/>
        <v>Q124_PRAÇAÍ</v>
      </c>
    </row>
    <row r="173" spans="1:6" x14ac:dyDescent="0.3">
      <c r="A173" s="2">
        <v>45505</v>
      </c>
      <c r="B173" t="s">
        <v>282</v>
      </c>
      <c r="C173" t="s">
        <v>118</v>
      </c>
      <c r="D173" t="s">
        <v>119</v>
      </c>
      <c r="E173">
        <v>2776.82</v>
      </c>
      <c r="F173" t="str">
        <f t="shared" si="2"/>
        <v>Q125_KIDELICIA CHURROS</v>
      </c>
    </row>
    <row r="174" spans="1:6" x14ac:dyDescent="0.3">
      <c r="A174" s="2">
        <v>45505</v>
      </c>
      <c r="B174" t="s">
        <v>282</v>
      </c>
      <c r="C174" t="s">
        <v>70</v>
      </c>
      <c r="D174" t="s">
        <v>71</v>
      </c>
      <c r="E174">
        <v>38698.85</v>
      </c>
      <c r="F174" t="str">
        <f t="shared" si="2"/>
        <v>Q128_M &amp; CREPES</v>
      </c>
    </row>
    <row r="175" spans="1:6" x14ac:dyDescent="0.3">
      <c r="A175" s="2">
        <v>45505</v>
      </c>
      <c r="B175" t="s">
        <v>283</v>
      </c>
      <c r="C175">
        <v>103</v>
      </c>
      <c r="D175" t="s">
        <v>74</v>
      </c>
      <c r="E175">
        <v>70227.400000000009</v>
      </c>
      <c r="F175" t="str">
        <f t="shared" si="2"/>
        <v>103_MERCADO DO CARRO</v>
      </c>
    </row>
    <row r="176" spans="1:6" x14ac:dyDescent="0.3">
      <c r="A176" s="2">
        <v>45505</v>
      </c>
      <c r="B176" t="s">
        <v>283</v>
      </c>
      <c r="C176" t="s">
        <v>75</v>
      </c>
      <c r="D176" t="s">
        <v>76</v>
      </c>
      <c r="E176">
        <v>146480.38</v>
      </c>
      <c r="F176" t="str">
        <f t="shared" si="2"/>
        <v>105/106_DOMINO'S PIZZA</v>
      </c>
    </row>
    <row r="177" spans="1:6" x14ac:dyDescent="0.3">
      <c r="A177" s="2">
        <v>45505</v>
      </c>
      <c r="B177" t="s">
        <v>283</v>
      </c>
      <c r="C177">
        <v>109</v>
      </c>
      <c r="D177" t="s">
        <v>77</v>
      </c>
      <c r="E177">
        <v>183886.38</v>
      </c>
      <c r="F177" t="str">
        <f t="shared" si="2"/>
        <v>109_AÇAFRÃO DA TERRA</v>
      </c>
    </row>
    <row r="178" spans="1:6" x14ac:dyDescent="0.3">
      <c r="A178" s="2">
        <v>45505</v>
      </c>
      <c r="B178" t="s">
        <v>283</v>
      </c>
      <c r="C178">
        <v>119</v>
      </c>
      <c r="D178" t="s">
        <v>78</v>
      </c>
      <c r="E178">
        <v>8797.66</v>
      </c>
      <c r="F178" t="str">
        <f t="shared" si="2"/>
        <v>119_CACAU SHOW</v>
      </c>
    </row>
    <row r="179" spans="1:6" x14ac:dyDescent="0.3">
      <c r="A179" s="2">
        <v>45505</v>
      </c>
      <c r="B179" t="s">
        <v>283</v>
      </c>
      <c r="C179">
        <v>121</v>
      </c>
      <c r="D179" t="s">
        <v>79</v>
      </c>
      <c r="E179">
        <v>9498.08</v>
      </c>
      <c r="F179" t="str">
        <f t="shared" si="2"/>
        <v>121_JV TEC</v>
      </c>
    </row>
    <row r="180" spans="1:6" x14ac:dyDescent="0.3">
      <c r="A180" s="2">
        <v>45505</v>
      </c>
      <c r="B180" t="s">
        <v>283</v>
      </c>
      <c r="C180">
        <v>216</v>
      </c>
      <c r="D180" t="s">
        <v>80</v>
      </c>
      <c r="E180">
        <v>17679.79</v>
      </c>
      <c r="F180" t="str">
        <f t="shared" si="2"/>
        <v>216_.SHOES</v>
      </c>
    </row>
    <row r="181" spans="1:6" x14ac:dyDescent="0.3">
      <c r="A181" s="2">
        <v>45505</v>
      </c>
      <c r="B181" t="s">
        <v>283</v>
      </c>
      <c r="C181">
        <v>303</v>
      </c>
      <c r="D181" t="s">
        <v>81</v>
      </c>
      <c r="E181">
        <v>27567.45</v>
      </c>
      <c r="F181" t="str">
        <f t="shared" si="2"/>
        <v>303_BABALOO ACESSÓRIOS</v>
      </c>
    </row>
    <row r="182" spans="1:6" x14ac:dyDescent="0.3">
      <c r="A182" s="2">
        <v>45505</v>
      </c>
      <c r="B182" t="s">
        <v>283</v>
      </c>
      <c r="C182" t="s">
        <v>82</v>
      </c>
      <c r="D182" t="s">
        <v>83</v>
      </c>
      <c r="E182">
        <v>2464.37</v>
      </c>
      <c r="F182" t="str">
        <f t="shared" si="2"/>
        <v>307._VIVIANE LOSCHA</v>
      </c>
    </row>
    <row r="183" spans="1:6" x14ac:dyDescent="0.3">
      <c r="A183" s="2">
        <v>45505</v>
      </c>
      <c r="B183" t="s">
        <v>283</v>
      </c>
      <c r="C183">
        <v>313</v>
      </c>
      <c r="D183" t="s">
        <v>84</v>
      </c>
      <c r="E183">
        <v>97458.040000000008</v>
      </c>
      <c r="F183" t="str">
        <f t="shared" si="2"/>
        <v>313_FATO A MANO FEMININO</v>
      </c>
    </row>
    <row r="184" spans="1:6" x14ac:dyDescent="0.3">
      <c r="A184" s="2">
        <v>45505</v>
      </c>
      <c r="B184" t="s">
        <v>283</v>
      </c>
      <c r="C184">
        <v>317</v>
      </c>
      <c r="D184" t="s">
        <v>85</v>
      </c>
      <c r="E184">
        <v>48853</v>
      </c>
      <c r="F184" t="str">
        <f t="shared" si="2"/>
        <v>317_FLOW</v>
      </c>
    </row>
    <row r="185" spans="1:6" x14ac:dyDescent="0.3">
      <c r="A185" s="2">
        <v>45505</v>
      </c>
      <c r="B185" t="s">
        <v>283</v>
      </c>
      <c r="C185">
        <v>344</v>
      </c>
      <c r="D185" t="s">
        <v>86</v>
      </c>
      <c r="E185">
        <v>33370.559999999998</v>
      </c>
      <c r="F185" t="str">
        <f t="shared" si="2"/>
        <v>344_BY BLITZ</v>
      </c>
    </row>
    <row r="186" spans="1:6" x14ac:dyDescent="0.3">
      <c r="A186" s="2">
        <v>45505</v>
      </c>
      <c r="B186" t="s">
        <v>283</v>
      </c>
      <c r="C186" t="s">
        <v>87</v>
      </c>
      <c r="D186" t="s">
        <v>88</v>
      </c>
      <c r="E186">
        <v>50768.87</v>
      </c>
      <c r="F186" t="str">
        <f t="shared" si="2"/>
        <v>Q111_CIA DA EMPADA</v>
      </c>
    </row>
    <row r="187" spans="1:6" x14ac:dyDescent="0.3">
      <c r="A187" s="2">
        <v>45505</v>
      </c>
      <c r="B187" t="s">
        <v>283</v>
      </c>
      <c r="C187" t="s">
        <v>89</v>
      </c>
      <c r="D187" t="s">
        <v>90</v>
      </c>
      <c r="E187">
        <v>30255.360000000001</v>
      </c>
      <c r="F187" t="str">
        <f t="shared" si="2"/>
        <v>Q115A_JAH DO AÇAÍ</v>
      </c>
    </row>
    <row r="188" spans="1:6" x14ac:dyDescent="0.3">
      <c r="A188" s="2">
        <v>45505</v>
      </c>
      <c r="B188" t="s">
        <v>283</v>
      </c>
      <c r="C188" t="s">
        <v>120</v>
      </c>
      <c r="D188" t="s">
        <v>121</v>
      </c>
      <c r="E188">
        <v>843.27</v>
      </c>
      <c r="F188" t="str">
        <f t="shared" si="2"/>
        <v>Q118B_APA DIVERSÕES</v>
      </c>
    </row>
    <row r="189" spans="1:6" x14ac:dyDescent="0.3">
      <c r="A189" s="2">
        <v>45505</v>
      </c>
      <c r="B189" t="s">
        <v>283</v>
      </c>
      <c r="C189" t="s">
        <v>122</v>
      </c>
      <c r="D189" t="s">
        <v>121</v>
      </c>
      <c r="E189">
        <v>843.27</v>
      </c>
      <c r="F189" t="str">
        <f t="shared" si="2"/>
        <v>Q124B_APA DIVERSÕES</v>
      </c>
    </row>
    <row r="190" spans="1:6" x14ac:dyDescent="0.3">
      <c r="A190" s="2">
        <v>45505</v>
      </c>
      <c r="B190" t="s">
        <v>283</v>
      </c>
      <c r="C190" t="s">
        <v>91</v>
      </c>
      <c r="D190" t="s">
        <v>92</v>
      </c>
      <c r="E190">
        <v>5995.4400000000014</v>
      </c>
      <c r="F190" t="str">
        <f t="shared" si="2"/>
        <v>Q135_PELE DE BONECA MAKE UP</v>
      </c>
    </row>
    <row r="191" spans="1:6" x14ac:dyDescent="0.3">
      <c r="A191" s="2">
        <v>45505</v>
      </c>
      <c r="B191" t="s">
        <v>283</v>
      </c>
      <c r="C191" t="s">
        <v>93</v>
      </c>
      <c r="D191" t="s">
        <v>94</v>
      </c>
      <c r="E191">
        <v>118387.4</v>
      </c>
      <c r="F191" t="str">
        <f t="shared" si="2"/>
        <v>S1 E S2_PRATIQUE FITNESS</v>
      </c>
    </row>
    <row r="192" spans="1:6" x14ac:dyDescent="0.3">
      <c r="A192" s="2">
        <v>45505</v>
      </c>
      <c r="B192" t="s">
        <v>283</v>
      </c>
      <c r="C192" t="s">
        <v>95</v>
      </c>
      <c r="D192" t="s">
        <v>32</v>
      </c>
      <c r="E192">
        <v>44929.740000000013</v>
      </c>
      <c r="F192" t="str">
        <f t="shared" si="2"/>
        <v>S200_AMERICANAS</v>
      </c>
    </row>
    <row r="193" spans="1:6" x14ac:dyDescent="0.3">
      <c r="A193" s="2">
        <v>45505</v>
      </c>
      <c r="B193" t="s">
        <v>283</v>
      </c>
      <c r="C193" t="s">
        <v>96</v>
      </c>
      <c r="D193" t="s">
        <v>97</v>
      </c>
      <c r="E193">
        <v>77573.16</v>
      </c>
      <c r="F193" t="str">
        <f t="shared" si="2"/>
        <v>S206_AQUA FAM</v>
      </c>
    </row>
    <row r="194" spans="1:6" x14ac:dyDescent="0.3">
      <c r="A194" s="2">
        <v>45505</v>
      </c>
      <c r="B194" t="s">
        <v>283</v>
      </c>
      <c r="C194" t="s">
        <v>100</v>
      </c>
      <c r="D194" t="s">
        <v>101</v>
      </c>
      <c r="E194">
        <v>951.18000000000006</v>
      </c>
      <c r="F194" t="str">
        <f t="shared" si="2"/>
        <v>S220._BARATO E FÁCIL</v>
      </c>
    </row>
    <row r="195" spans="1:6" x14ac:dyDescent="0.3">
      <c r="A195" s="2">
        <v>45505</v>
      </c>
      <c r="B195" t="s">
        <v>283</v>
      </c>
      <c r="C195" t="s">
        <v>123</v>
      </c>
      <c r="D195" t="s">
        <v>124</v>
      </c>
      <c r="E195">
        <v>2071.06</v>
      </c>
      <c r="F195" t="str">
        <f t="shared" ref="F195:F258" si="3">C195&amp;"_"&amp;D195</f>
        <v>S238_HIGIENIZAÇÃO GETSEMANI</v>
      </c>
    </row>
    <row r="196" spans="1:6" x14ac:dyDescent="0.3">
      <c r="A196" s="2">
        <v>45505</v>
      </c>
      <c r="B196" t="s">
        <v>283</v>
      </c>
      <c r="C196" t="s">
        <v>125</v>
      </c>
      <c r="D196" t="s">
        <v>126</v>
      </c>
      <c r="E196">
        <v>3864.61</v>
      </c>
      <c r="F196" t="str">
        <f t="shared" si="3"/>
        <v>S247_ESTÚDIO SANTOS TATTOO</v>
      </c>
    </row>
    <row r="197" spans="1:6" x14ac:dyDescent="0.3">
      <c r="A197" s="2">
        <v>45536</v>
      </c>
      <c r="B197" t="s">
        <v>282</v>
      </c>
      <c r="C197">
        <v>1001</v>
      </c>
      <c r="D197" t="s">
        <v>3</v>
      </c>
      <c r="E197">
        <v>500189.71999999991</v>
      </c>
      <c r="F197" t="str">
        <f t="shared" si="3"/>
        <v>1001_CENTRO UNIVERSITÁRIO UNIHORIZONTES</v>
      </c>
    </row>
    <row r="198" spans="1:6" x14ac:dyDescent="0.3">
      <c r="A198" s="2">
        <v>45536</v>
      </c>
      <c r="B198" t="s">
        <v>282</v>
      </c>
      <c r="C198" t="s">
        <v>4</v>
      </c>
      <c r="D198" t="s">
        <v>5</v>
      </c>
      <c r="E198">
        <v>4899.2899999999991</v>
      </c>
      <c r="F198" t="str">
        <f t="shared" si="3"/>
        <v>1001A_FACULDADE NOVOS HORIZONTES</v>
      </c>
    </row>
    <row r="199" spans="1:6" x14ac:dyDescent="0.3">
      <c r="A199" s="2">
        <v>45536</v>
      </c>
      <c r="B199" t="s">
        <v>282</v>
      </c>
      <c r="C199">
        <v>1027</v>
      </c>
      <c r="D199" t="s">
        <v>9</v>
      </c>
      <c r="E199">
        <v>18796.400000000009</v>
      </c>
      <c r="F199" t="str">
        <f t="shared" si="3"/>
        <v>1027_SAÚDE COM VOCÊ</v>
      </c>
    </row>
    <row r="200" spans="1:6" x14ac:dyDescent="0.3">
      <c r="A200" s="2">
        <v>45536</v>
      </c>
      <c r="B200" t="s">
        <v>282</v>
      </c>
      <c r="C200" t="s">
        <v>10</v>
      </c>
      <c r="D200" t="s">
        <v>127</v>
      </c>
      <c r="E200">
        <v>3199.52</v>
      </c>
      <c r="F200" t="str">
        <f t="shared" si="3"/>
        <v>1028._OGGI SORVETES</v>
      </c>
    </row>
    <row r="201" spans="1:6" x14ac:dyDescent="0.3">
      <c r="A201" s="2">
        <v>45536</v>
      </c>
      <c r="B201" t="s">
        <v>282</v>
      </c>
      <c r="C201" t="s">
        <v>12</v>
      </c>
      <c r="D201" t="s">
        <v>13</v>
      </c>
      <c r="E201">
        <v>13947.45</v>
      </c>
      <c r="F201" t="str">
        <f t="shared" si="3"/>
        <v>1029._BELLAS UNHAS</v>
      </c>
    </row>
    <row r="202" spans="1:6" x14ac:dyDescent="0.3">
      <c r="A202" s="2">
        <v>45536</v>
      </c>
      <c r="B202" t="s">
        <v>282</v>
      </c>
      <c r="C202" t="s">
        <v>14</v>
      </c>
      <c r="D202" t="s">
        <v>15</v>
      </c>
      <c r="E202">
        <v>69921.259999999951</v>
      </c>
      <c r="F202" t="str">
        <f t="shared" si="3"/>
        <v>106A_TUDO DELAS MAKEUP</v>
      </c>
    </row>
    <row r="203" spans="1:6" x14ac:dyDescent="0.3">
      <c r="A203" s="2">
        <v>45536</v>
      </c>
      <c r="B203" t="s">
        <v>282</v>
      </c>
      <c r="C203" t="s">
        <v>16</v>
      </c>
      <c r="D203" t="s">
        <v>17</v>
      </c>
      <c r="E203">
        <v>79584.37000000001</v>
      </c>
      <c r="F203" t="str">
        <f t="shared" si="3"/>
        <v>110A_LINDAS E CHIC'S</v>
      </c>
    </row>
    <row r="204" spans="1:6" x14ac:dyDescent="0.3">
      <c r="A204" s="2">
        <v>45536</v>
      </c>
      <c r="B204" t="s">
        <v>282</v>
      </c>
      <c r="C204">
        <v>114</v>
      </c>
      <c r="D204" t="s">
        <v>18</v>
      </c>
      <c r="E204">
        <v>60263.620000000017</v>
      </c>
      <c r="F204" t="str">
        <f t="shared" si="3"/>
        <v>114_LANCHONETE LONDRES</v>
      </c>
    </row>
    <row r="205" spans="1:6" x14ac:dyDescent="0.3">
      <c r="A205" s="2">
        <v>45536</v>
      </c>
      <c r="B205" t="s">
        <v>282</v>
      </c>
      <c r="C205" t="s">
        <v>19</v>
      </c>
      <c r="D205" t="s">
        <v>20</v>
      </c>
      <c r="E205">
        <v>8645.2000000000007</v>
      </c>
      <c r="F205" t="str">
        <f t="shared" si="3"/>
        <v>125-127_INSTITUTO GOURMET</v>
      </c>
    </row>
    <row r="206" spans="1:6" x14ac:dyDescent="0.3">
      <c r="A206" s="2">
        <v>45536</v>
      </c>
      <c r="B206" t="s">
        <v>282</v>
      </c>
      <c r="C206" t="s">
        <v>21</v>
      </c>
      <c r="D206" t="s">
        <v>22</v>
      </c>
      <c r="E206">
        <v>58807.499999999993</v>
      </c>
      <c r="F206" t="str">
        <f t="shared" si="3"/>
        <v>128-137_POLO WEAR</v>
      </c>
    </row>
    <row r="207" spans="1:6" x14ac:dyDescent="0.3">
      <c r="A207" s="2">
        <v>45536</v>
      </c>
      <c r="B207" t="s">
        <v>282</v>
      </c>
      <c r="C207">
        <v>138</v>
      </c>
      <c r="D207" t="s">
        <v>112</v>
      </c>
      <c r="E207">
        <v>13579.55</v>
      </c>
      <c r="F207" t="str">
        <f t="shared" si="3"/>
        <v>138_CREPERIA</v>
      </c>
    </row>
    <row r="208" spans="1:6" x14ac:dyDescent="0.3">
      <c r="A208" s="2">
        <v>45536</v>
      </c>
      <c r="B208" t="s">
        <v>282</v>
      </c>
      <c r="C208">
        <v>2004</v>
      </c>
      <c r="D208" t="s">
        <v>23</v>
      </c>
      <c r="E208">
        <v>15053.87</v>
      </c>
      <c r="F208" t="str">
        <f t="shared" si="3"/>
        <v>2004_CAFÉ IMPERIAL</v>
      </c>
    </row>
    <row r="209" spans="1:6" x14ac:dyDescent="0.3">
      <c r="A209" s="2">
        <v>45536</v>
      </c>
      <c r="B209" t="s">
        <v>282</v>
      </c>
      <c r="C209">
        <v>2006</v>
      </c>
      <c r="D209" t="s">
        <v>24</v>
      </c>
      <c r="E209">
        <v>41767.739999999991</v>
      </c>
      <c r="F209" t="str">
        <f t="shared" si="3"/>
        <v>2006_GRUPO APF EMPRESARIAL</v>
      </c>
    </row>
    <row r="210" spans="1:6" x14ac:dyDescent="0.3">
      <c r="A210" s="2">
        <v>45536</v>
      </c>
      <c r="B210" t="s">
        <v>282</v>
      </c>
      <c r="C210" t="s">
        <v>25</v>
      </c>
      <c r="D210" t="s">
        <v>26</v>
      </c>
      <c r="E210">
        <v>92926.96999999987</v>
      </c>
      <c r="F210" t="str">
        <f t="shared" si="3"/>
        <v>2007/2008_MULTICAPAS</v>
      </c>
    </row>
    <row r="211" spans="1:6" x14ac:dyDescent="0.3">
      <c r="A211" s="2">
        <v>45536</v>
      </c>
      <c r="B211" t="s">
        <v>282</v>
      </c>
      <c r="C211">
        <v>2039</v>
      </c>
      <c r="D211" t="s">
        <v>76</v>
      </c>
      <c r="E211">
        <v>5351.62</v>
      </c>
      <c r="F211" t="str">
        <f t="shared" si="3"/>
        <v>2039_DOMINO'S PIZZA</v>
      </c>
    </row>
    <row r="212" spans="1:6" x14ac:dyDescent="0.3">
      <c r="A212" s="2">
        <v>45536</v>
      </c>
      <c r="B212" t="s">
        <v>282</v>
      </c>
      <c r="C212">
        <v>2040</v>
      </c>
      <c r="D212" t="s">
        <v>28</v>
      </c>
      <c r="E212">
        <v>8901.4000000000015</v>
      </c>
      <c r="F212" t="str">
        <f t="shared" si="3"/>
        <v>2040_THALES FOTOGRAFIA</v>
      </c>
    </row>
    <row r="213" spans="1:6" x14ac:dyDescent="0.3">
      <c r="A213" s="2">
        <v>45536</v>
      </c>
      <c r="B213" t="s">
        <v>282</v>
      </c>
      <c r="C213">
        <v>208</v>
      </c>
      <c r="D213" t="s">
        <v>113</v>
      </c>
      <c r="E213">
        <v>17660</v>
      </c>
      <c r="F213" t="str">
        <f t="shared" si="3"/>
        <v>208_MARVILLE</v>
      </c>
    </row>
    <row r="214" spans="1:6" x14ac:dyDescent="0.3">
      <c r="A214" s="2">
        <v>45536</v>
      </c>
      <c r="B214" t="s">
        <v>282</v>
      </c>
      <c r="C214">
        <v>223</v>
      </c>
      <c r="D214" t="s">
        <v>29</v>
      </c>
      <c r="E214">
        <v>22006.799999999999</v>
      </c>
      <c r="F214" t="str">
        <f t="shared" si="3"/>
        <v>223_ALPHABETO</v>
      </c>
    </row>
    <row r="215" spans="1:6" x14ac:dyDescent="0.3">
      <c r="A215" s="2">
        <v>45536</v>
      </c>
      <c r="B215" t="s">
        <v>282</v>
      </c>
      <c r="C215">
        <v>235</v>
      </c>
      <c r="D215" t="s">
        <v>31</v>
      </c>
      <c r="E215">
        <v>68259.33</v>
      </c>
      <c r="F215" t="str">
        <f t="shared" si="3"/>
        <v>235_MARISA</v>
      </c>
    </row>
    <row r="216" spans="1:6" x14ac:dyDescent="0.3">
      <c r="A216" s="2">
        <v>45536</v>
      </c>
      <c r="B216" t="s">
        <v>282</v>
      </c>
      <c r="C216">
        <v>237</v>
      </c>
      <c r="D216" t="s">
        <v>102</v>
      </c>
      <c r="E216">
        <v>209.79</v>
      </c>
      <c r="F216" t="str">
        <f t="shared" si="3"/>
        <v>237_JD SKATE</v>
      </c>
    </row>
    <row r="217" spans="1:6" x14ac:dyDescent="0.3">
      <c r="A217" s="2">
        <v>45536</v>
      </c>
      <c r="B217" t="s">
        <v>282</v>
      </c>
      <c r="C217">
        <v>246</v>
      </c>
      <c r="D217" t="s">
        <v>32</v>
      </c>
      <c r="E217">
        <v>74514.38</v>
      </c>
      <c r="F217" t="str">
        <f t="shared" si="3"/>
        <v>246_AMERICANAS</v>
      </c>
    </row>
    <row r="218" spans="1:6" x14ac:dyDescent="0.3">
      <c r="A218" s="2">
        <v>45536</v>
      </c>
      <c r="B218" t="s">
        <v>282</v>
      </c>
      <c r="C218">
        <v>260</v>
      </c>
      <c r="D218" t="s">
        <v>34</v>
      </c>
      <c r="E218">
        <v>84733.18</v>
      </c>
      <c r="F218" t="str">
        <f t="shared" si="3"/>
        <v>260_NEO JÓIAS</v>
      </c>
    </row>
    <row r="219" spans="1:6" x14ac:dyDescent="0.3">
      <c r="A219" s="2">
        <v>45536</v>
      </c>
      <c r="B219" t="s">
        <v>282</v>
      </c>
      <c r="C219">
        <v>262</v>
      </c>
      <c r="D219" t="s">
        <v>35</v>
      </c>
      <c r="E219">
        <v>21117.46</v>
      </c>
      <c r="F219" t="str">
        <f t="shared" si="3"/>
        <v>262_LOJA DO GALO</v>
      </c>
    </row>
    <row r="220" spans="1:6" x14ac:dyDescent="0.3">
      <c r="A220" s="2">
        <v>45536</v>
      </c>
      <c r="B220" t="s">
        <v>282</v>
      </c>
      <c r="C220">
        <v>267</v>
      </c>
      <c r="D220" t="s">
        <v>128</v>
      </c>
      <c r="E220">
        <v>11361.42</v>
      </c>
      <c r="F220" t="str">
        <f t="shared" si="3"/>
        <v>267_ESTRIPULIA</v>
      </c>
    </row>
    <row r="221" spans="1:6" x14ac:dyDescent="0.3">
      <c r="A221" s="2">
        <v>45536</v>
      </c>
      <c r="B221" t="s">
        <v>282</v>
      </c>
      <c r="C221">
        <v>277</v>
      </c>
      <c r="D221" t="s">
        <v>36</v>
      </c>
      <c r="E221">
        <v>120547.9</v>
      </c>
      <c r="F221" t="str">
        <f t="shared" si="3"/>
        <v>277_DUCAPS</v>
      </c>
    </row>
    <row r="222" spans="1:6" x14ac:dyDescent="0.3">
      <c r="A222" s="2">
        <v>45536</v>
      </c>
      <c r="B222" t="s">
        <v>282</v>
      </c>
      <c r="C222">
        <v>278</v>
      </c>
      <c r="D222" t="s">
        <v>37</v>
      </c>
      <c r="E222">
        <v>58156.829999999973</v>
      </c>
      <c r="F222" t="str">
        <f t="shared" si="3"/>
        <v>278_RF STORE</v>
      </c>
    </row>
    <row r="223" spans="1:6" x14ac:dyDescent="0.3">
      <c r="A223" s="2">
        <v>45536</v>
      </c>
      <c r="B223" t="s">
        <v>282</v>
      </c>
      <c r="C223" t="s">
        <v>38</v>
      </c>
      <c r="D223" t="s">
        <v>39</v>
      </c>
      <c r="E223">
        <v>32927.68</v>
      </c>
      <c r="F223" t="str">
        <f t="shared" si="3"/>
        <v>315*_HAKUNA BATATA</v>
      </c>
    </row>
    <row r="224" spans="1:6" x14ac:dyDescent="0.3">
      <c r="A224" s="2">
        <v>45536</v>
      </c>
      <c r="B224" t="s">
        <v>282</v>
      </c>
      <c r="C224">
        <v>321</v>
      </c>
      <c r="D224" t="s">
        <v>40</v>
      </c>
      <c r="E224">
        <v>29309.18</v>
      </c>
      <c r="F224" t="str">
        <f t="shared" si="3"/>
        <v>321_APERTE PLAY</v>
      </c>
    </row>
    <row r="225" spans="1:6" x14ac:dyDescent="0.3">
      <c r="A225" s="2">
        <v>45536</v>
      </c>
      <c r="B225" t="s">
        <v>282</v>
      </c>
      <c r="C225">
        <v>324</v>
      </c>
      <c r="D225" t="s">
        <v>41</v>
      </c>
      <c r="E225">
        <v>168822.24999999991</v>
      </c>
      <c r="F225" t="str">
        <f t="shared" si="3"/>
        <v>324_MASTER GRILL</v>
      </c>
    </row>
    <row r="226" spans="1:6" x14ac:dyDescent="0.3">
      <c r="A226" s="2">
        <v>45536</v>
      </c>
      <c r="B226" t="s">
        <v>282</v>
      </c>
      <c r="C226">
        <v>329</v>
      </c>
      <c r="D226" t="s">
        <v>42</v>
      </c>
      <c r="E226">
        <v>149022.23000000001</v>
      </c>
      <c r="F226" t="str">
        <f t="shared" si="3"/>
        <v>329_HOT GRILL</v>
      </c>
    </row>
    <row r="227" spans="1:6" x14ac:dyDescent="0.3">
      <c r="A227" s="2">
        <v>45536</v>
      </c>
      <c r="B227" t="s">
        <v>282</v>
      </c>
      <c r="C227">
        <v>332</v>
      </c>
      <c r="D227" t="s">
        <v>43</v>
      </c>
      <c r="E227">
        <v>102183.65</v>
      </c>
      <c r="F227" t="str">
        <f t="shared" si="3"/>
        <v>332_SPOLETO</v>
      </c>
    </row>
    <row r="228" spans="1:6" x14ac:dyDescent="0.3">
      <c r="A228" s="2">
        <v>45536</v>
      </c>
      <c r="B228" t="s">
        <v>282</v>
      </c>
      <c r="C228">
        <v>417</v>
      </c>
      <c r="D228" t="s">
        <v>45</v>
      </c>
      <c r="E228">
        <v>201262.0499999999</v>
      </c>
      <c r="F228" t="str">
        <f t="shared" si="3"/>
        <v>417_BELEZA NATURAL</v>
      </c>
    </row>
    <row r="229" spans="1:6" x14ac:dyDescent="0.3">
      <c r="A229" s="2">
        <v>45536</v>
      </c>
      <c r="B229" t="s">
        <v>282</v>
      </c>
      <c r="C229">
        <v>418</v>
      </c>
      <c r="D229" t="s">
        <v>46</v>
      </c>
      <c r="E229">
        <v>668053.72999999952</v>
      </c>
      <c r="F229" t="str">
        <f t="shared" si="3"/>
        <v>418_TOQUE NATURAL</v>
      </c>
    </row>
    <row r="230" spans="1:6" x14ac:dyDescent="0.3">
      <c r="A230" s="2">
        <v>45536</v>
      </c>
      <c r="B230" t="s">
        <v>282</v>
      </c>
      <c r="C230" t="s">
        <v>47</v>
      </c>
      <c r="D230" t="s">
        <v>48</v>
      </c>
      <c r="E230">
        <v>2660.53</v>
      </c>
      <c r="F230" t="str">
        <f t="shared" si="3"/>
        <v>D14_DEPÓSITO LINDAS E CHIC'S</v>
      </c>
    </row>
    <row r="231" spans="1:6" x14ac:dyDescent="0.3">
      <c r="A231" s="2">
        <v>45536</v>
      </c>
      <c r="B231" t="s">
        <v>282</v>
      </c>
      <c r="C231" t="s">
        <v>129</v>
      </c>
      <c r="D231" t="s">
        <v>130</v>
      </c>
      <c r="E231">
        <v>403.52</v>
      </c>
      <c r="F231" t="str">
        <f t="shared" si="3"/>
        <v>D15_DIVINO FOGÃO - DEPÓSITO</v>
      </c>
    </row>
    <row r="232" spans="1:6" x14ac:dyDescent="0.3">
      <c r="A232" s="2">
        <v>45536</v>
      </c>
      <c r="B232" t="s">
        <v>282</v>
      </c>
      <c r="C232" t="s">
        <v>103</v>
      </c>
      <c r="D232" t="s">
        <v>104</v>
      </c>
      <c r="E232">
        <v>500</v>
      </c>
      <c r="F232" t="str">
        <f t="shared" si="3"/>
        <v>D2_MAGIC COTTON - DEPÓSITO</v>
      </c>
    </row>
    <row r="233" spans="1:6" x14ac:dyDescent="0.3">
      <c r="A233" s="2">
        <v>45536</v>
      </c>
      <c r="B233" t="s">
        <v>282</v>
      </c>
      <c r="C233" t="s">
        <v>51</v>
      </c>
      <c r="D233" t="s">
        <v>52</v>
      </c>
      <c r="E233">
        <v>4321.29</v>
      </c>
      <c r="F233" t="str">
        <f t="shared" si="3"/>
        <v>E01_AUTOCENTRO CONFIAR</v>
      </c>
    </row>
    <row r="234" spans="1:6" x14ac:dyDescent="0.3">
      <c r="A234" s="2">
        <v>45536</v>
      </c>
      <c r="B234" t="s">
        <v>282</v>
      </c>
      <c r="C234" t="s">
        <v>53</v>
      </c>
      <c r="D234" t="s">
        <v>54</v>
      </c>
      <c r="E234">
        <v>28000</v>
      </c>
      <c r="F234" t="str">
        <f t="shared" si="3"/>
        <v>M041_PLACA NOVOS HORIZONTES</v>
      </c>
    </row>
    <row r="235" spans="1:6" x14ac:dyDescent="0.3">
      <c r="A235" s="2">
        <v>45536</v>
      </c>
      <c r="B235" t="s">
        <v>282</v>
      </c>
      <c r="C235" t="s">
        <v>116</v>
      </c>
      <c r="D235" t="s">
        <v>117</v>
      </c>
      <c r="E235">
        <v>6750</v>
      </c>
      <c r="F235" t="str">
        <f t="shared" si="3"/>
        <v>M055_MULTI COLCHÕES</v>
      </c>
    </row>
    <row r="236" spans="1:6" x14ac:dyDescent="0.3">
      <c r="A236" s="2">
        <v>45536</v>
      </c>
      <c r="B236" t="s">
        <v>282</v>
      </c>
      <c r="C236" t="s">
        <v>107</v>
      </c>
      <c r="D236" t="s">
        <v>108</v>
      </c>
      <c r="E236">
        <v>2000</v>
      </c>
      <c r="F236" t="str">
        <f t="shared" si="3"/>
        <v>MIN10_MARVILLE - MÍDIA</v>
      </c>
    </row>
    <row r="237" spans="1:6" x14ac:dyDescent="0.3">
      <c r="A237" s="2">
        <v>45536</v>
      </c>
      <c r="B237" t="s">
        <v>282</v>
      </c>
      <c r="C237" t="s">
        <v>59</v>
      </c>
      <c r="D237" t="s">
        <v>60</v>
      </c>
      <c r="E237">
        <v>51503.75</v>
      </c>
      <c r="F237" t="str">
        <f t="shared" si="3"/>
        <v>P202_LP IMPORTS</v>
      </c>
    </row>
    <row r="238" spans="1:6" x14ac:dyDescent="0.3">
      <c r="A238" s="2">
        <v>45536</v>
      </c>
      <c r="B238" t="s">
        <v>282</v>
      </c>
      <c r="C238" t="s">
        <v>61</v>
      </c>
      <c r="D238" t="s">
        <v>62</v>
      </c>
      <c r="E238">
        <v>20175.8</v>
      </c>
      <c r="F238" t="str">
        <f t="shared" si="3"/>
        <v>P204_LONDRES</v>
      </c>
    </row>
    <row r="239" spans="1:6" x14ac:dyDescent="0.3">
      <c r="A239" s="2">
        <v>45536</v>
      </c>
      <c r="B239" t="s">
        <v>282</v>
      </c>
      <c r="C239" t="s">
        <v>63</v>
      </c>
      <c r="D239" t="s">
        <v>64</v>
      </c>
      <c r="E239">
        <v>21061.29</v>
      </c>
      <c r="F239" t="str">
        <f t="shared" si="3"/>
        <v>Q103/107_REI DAS CAPAS</v>
      </c>
    </row>
    <row r="240" spans="1:6" x14ac:dyDescent="0.3">
      <c r="A240" s="2">
        <v>45536</v>
      </c>
      <c r="B240" t="s">
        <v>282</v>
      </c>
      <c r="C240" t="s">
        <v>67</v>
      </c>
      <c r="D240" t="s">
        <v>68</v>
      </c>
      <c r="E240">
        <v>5423.22</v>
      </c>
      <c r="F240" t="str">
        <f t="shared" si="3"/>
        <v>Q113_ESTAÇÃO HOT DOG</v>
      </c>
    </row>
    <row r="241" spans="1:6" x14ac:dyDescent="0.3">
      <c r="A241" s="2">
        <v>45536</v>
      </c>
      <c r="B241" t="s">
        <v>282</v>
      </c>
      <c r="C241" t="s">
        <v>70</v>
      </c>
      <c r="D241" t="s">
        <v>71</v>
      </c>
      <c r="E241">
        <v>44650.41</v>
      </c>
      <c r="F241" t="str">
        <f t="shared" si="3"/>
        <v>Q128_M &amp; CREPES</v>
      </c>
    </row>
    <row r="242" spans="1:6" x14ac:dyDescent="0.3">
      <c r="A242" s="2">
        <v>45536</v>
      </c>
      <c r="B242" t="s">
        <v>282</v>
      </c>
      <c r="C242" t="s">
        <v>131</v>
      </c>
      <c r="D242" t="s">
        <v>132</v>
      </c>
      <c r="E242">
        <v>2088.1999999999998</v>
      </c>
      <c r="F242" t="str">
        <f t="shared" si="3"/>
        <v>Q228_CARRUAGEM ENCANTADA</v>
      </c>
    </row>
    <row r="243" spans="1:6" x14ac:dyDescent="0.3">
      <c r="A243" s="2">
        <v>45536</v>
      </c>
      <c r="B243" t="s">
        <v>282</v>
      </c>
      <c r="C243" t="s">
        <v>133</v>
      </c>
      <c r="D243" t="s">
        <v>134</v>
      </c>
      <c r="E243">
        <v>2052.5</v>
      </c>
      <c r="F243" t="str">
        <f t="shared" si="3"/>
        <v>Q502_BIG TRUCK</v>
      </c>
    </row>
    <row r="244" spans="1:6" x14ac:dyDescent="0.3">
      <c r="A244" s="2">
        <v>45536</v>
      </c>
      <c r="B244" t="s">
        <v>282</v>
      </c>
      <c r="C244" t="s">
        <v>135</v>
      </c>
      <c r="D244" t="s">
        <v>136</v>
      </c>
      <c r="E244">
        <v>133.34</v>
      </c>
      <c r="F244" t="str">
        <f t="shared" si="3"/>
        <v>Q505_LISIÊ CHOCOLATERIA</v>
      </c>
    </row>
    <row r="245" spans="1:6" x14ac:dyDescent="0.3">
      <c r="A245" s="2">
        <v>45536</v>
      </c>
      <c r="B245" t="s">
        <v>283</v>
      </c>
      <c r="C245">
        <v>103</v>
      </c>
      <c r="D245" t="s">
        <v>74</v>
      </c>
      <c r="E245">
        <v>79788.209999999992</v>
      </c>
      <c r="F245" t="str">
        <f t="shared" si="3"/>
        <v>103_MERCADO DO CARRO</v>
      </c>
    </row>
    <row r="246" spans="1:6" x14ac:dyDescent="0.3">
      <c r="A246" s="2">
        <v>45536</v>
      </c>
      <c r="B246" t="s">
        <v>283</v>
      </c>
      <c r="C246" t="s">
        <v>75</v>
      </c>
      <c r="D246" t="s">
        <v>76</v>
      </c>
      <c r="E246">
        <v>152875.89000000001</v>
      </c>
      <c r="F246" t="str">
        <f t="shared" si="3"/>
        <v>105/106_DOMINO'S PIZZA</v>
      </c>
    </row>
    <row r="247" spans="1:6" x14ac:dyDescent="0.3">
      <c r="A247" s="2">
        <v>45536</v>
      </c>
      <c r="B247" t="s">
        <v>283</v>
      </c>
      <c r="C247">
        <v>109</v>
      </c>
      <c r="D247" t="s">
        <v>77</v>
      </c>
      <c r="E247">
        <v>193073.42999999991</v>
      </c>
      <c r="F247" t="str">
        <f t="shared" si="3"/>
        <v>109_AÇAFRÃO DA TERRA</v>
      </c>
    </row>
    <row r="248" spans="1:6" x14ac:dyDescent="0.3">
      <c r="A248" s="2">
        <v>45536</v>
      </c>
      <c r="B248" t="s">
        <v>283</v>
      </c>
      <c r="C248">
        <v>119</v>
      </c>
      <c r="D248" t="s">
        <v>78</v>
      </c>
      <c r="E248">
        <v>8797.66</v>
      </c>
      <c r="F248" t="str">
        <f t="shared" si="3"/>
        <v>119_CACAU SHOW</v>
      </c>
    </row>
    <row r="249" spans="1:6" x14ac:dyDescent="0.3">
      <c r="A249" s="2">
        <v>45536</v>
      </c>
      <c r="B249" t="s">
        <v>283</v>
      </c>
      <c r="C249">
        <v>121</v>
      </c>
      <c r="D249" t="s">
        <v>79</v>
      </c>
      <c r="E249">
        <v>12672.96</v>
      </c>
      <c r="F249" t="str">
        <f t="shared" si="3"/>
        <v>121_JV TEC</v>
      </c>
    </row>
    <row r="250" spans="1:6" x14ac:dyDescent="0.3">
      <c r="A250" s="2">
        <v>45536</v>
      </c>
      <c r="B250" t="s">
        <v>283</v>
      </c>
      <c r="C250">
        <v>216</v>
      </c>
      <c r="D250" t="s">
        <v>80</v>
      </c>
      <c r="E250">
        <v>23133.87</v>
      </c>
      <c r="F250" t="str">
        <f t="shared" si="3"/>
        <v>216_.SHOES</v>
      </c>
    </row>
    <row r="251" spans="1:6" x14ac:dyDescent="0.3">
      <c r="A251" s="2">
        <v>45536</v>
      </c>
      <c r="B251" t="s">
        <v>283</v>
      </c>
      <c r="C251">
        <v>303</v>
      </c>
      <c r="D251" t="s">
        <v>81</v>
      </c>
      <c r="E251">
        <v>16593.360000000011</v>
      </c>
      <c r="F251" t="str">
        <f t="shared" si="3"/>
        <v>303_BABALOO ACESSÓRIOS</v>
      </c>
    </row>
    <row r="252" spans="1:6" x14ac:dyDescent="0.3">
      <c r="A252" s="2">
        <v>45536</v>
      </c>
      <c r="B252" t="s">
        <v>283</v>
      </c>
      <c r="C252">
        <v>305</v>
      </c>
      <c r="D252" t="s">
        <v>109</v>
      </c>
      <c r="E252">
        <v>5549.8799999999992</v>
      </c>
      <c r="F252" t="str">
        <f t="shared" si="3"/>
        <v>305_H.</v>
      </c>
    </row>
    <row r="253" spans="1:6" x14ac:dyDescent="0.3">
      <c r="A253" s="2">
        <v>45536</v>
      </c>
      <c r="B253" t="s">
        <v>283</v>
      </c>
      <c r="C253">
        <v>313</v>
      </c>
      <c r="D253" t="s">
        <v>84</v>
      </c>
      <c r="E253">
        <v>106289.7</v>
      </c>
      <c r="F253" t="str">
        <f t="shared" si="3"/>
        <v>313_FATO A MANO FEMININO</v>
      </c>
    </row>
    <row r="254" spans="1:6" x14ac:dyDescent="0.3">
      <c r="A254" s="2">
        <v>45536</v>
      </c>
      <c r="B254" t="s">
        <v>283</v>
      </c>
      <c r="C254">
        <v>317</v>
      </c>
      <c r="D254" t="s">
        <v>85</v>
      </c>
      <c r="E254">
        <v>42648.05</v>
      </c>
      <c r="F254" t="str">
        <f t="shared" si="3"/>
        <v>317_FLOW</v>
      </c>
    </row>
    <row r="255" spans="1:6" x14ac:dyDescent="0.3">
      <c r="A255" s="2">
        <v>45536</v>
      </c>
      <c r="B255" t="s">
        <v>283</v>
      </c>
      <c r="C255">
        <v>344</v>
      </c>
      <c r="D255" t="s">
        <v>86</v>
      </c>
      <c r="E255">
        <v>20982.2</v>
      </c>
      <c r="F255" t="str">
        <f t="shared" si="3"/>
        <v>344_BY BLITZ</v>
      </c>
    </row>
    <row r="256" spans="1:6" x14ac:dyDescent="0.3">
      <c r="A256" s="2">
        <v>45536</v>
      </c>
      <c r="B256" t="s">
        <v>283</v>
      </c>
      <c r="C256" t="s">
        <v>87</v>
      </c>
      <c r="D256" t="s">
        <v>88</v>
      </c>
      <c r="E256">
        <v>54600.02</v>
      </c>
      <c r="F256" t="str">
        <f t="shared" si="3"/>
        <v>Q111_CIA DA EMPADA</v>
      </c>
    </row>
    <row r="257" spans="1:6" x14ac:dyDescent="0.3">
      <c r="A257" s="2">
        <v>45536</v>
      </c>
      <c r="B257" t="s">
        <v>283</v>
      </c>
      <c r="C257" t="s">
        <v>89</v>
      </c>
      <c r="D257" t="s">
        <v>90</v>
      </c>
      <c r="E257">
        <v>28372.32</v>
      </c>
      <c r="F257" t="str">
        <f t="shared" si="3"/>
        <v>Q115A_JAH DO AÇAÍ</v>
      </c>
    </row>
    <row r="258" spans="1:6" x14ac:dyDescent="0.3">
      <c r="A258" s="2">
        <v>45536</v>
      </c>
      <c r="B258" t="s">
        <v>283</v>
      </c>
      <c r="C258" t="s">
        <v>91</v>
      </c>
      <c r="D258" t="s">
        <v>92</v>
      </c>
      <c r="E258">
        <v>9261.5899999999983</v>
      </c>
      <c r="F258" t="str">
        <f t="shared" si="3"/>
        <v>Q135_PELE DE BONECA MAKE UP</v>
      </c>
    </row>
    <row r="259" spans="1:6" x14ac:dyDescent="0.3">
      <c r="A259" s="2">
        <v>45536</v>
      </c>
      <c r="B259" t="s">
        <v>283</v>
      </c>
      <c r="C259" t="s">
        <v>93</v>
      </c>
      <c r="D259" t="s">
        <v>94</v>
      </c>
      <c r="E259">
        <v>118387.4</v>
      </c>
      <c r="F259" t="str">
        <f t="shared" ref="F259:F322" si="4">C259&amp;"_"&amp;D259</f>
        <v>S1 E S2_PRATIQUE FITNESS</v>
      </c>
    </row>
    <row r="260" spans="1:6" x14ac:dyDescent="0.3">
      <c r="A260" s="2">
        <v>45536</v>
      </c>
      <c r="B260" t="s">
        <v>283</v>
      </c>
      <c r="C260" t="s">
        <v>95</v>
      </c>
      <c r="D260" t="s">
        <v>32</v>
      </c>
      <c r="E260">
        <v>44448.790000000008</v>
      </c>
      <c r="F260" t="str">
        <f t="shared" si="4"/>
        <v>S200_AMERICANAS</v>
      </c>
    </row>
    <row r="261" spans="1:6" x14ac:dyDescent="0.3">
      <c r="A261" s="2">
        <v>45536</v>
      </c>
      <c r="B261" t="s">
        <v>283</v>
      </c>
      <c r="C261" t="s">
        <v>100</v>
      </c>
      <c r="D261" t="s">
        <v>101</v>
      </c>
      <c r="E261">
        <v>2618.77</v>
      </c>
      <c r="F261" t="str">
        <f t="shared" si="4"/>
        <v>S220._BARATO E FÁCIL</v>
      </c>
    </row>
    <row r="262" spans="1:6" x14ac:dyDescent="0.3">
      <c r="A262" s="2">
        <v>45536</v>
      </c>
      <c r="B262" t="s">
        <v>283</v>
      </c>
      <c r="C262" t="s">
        <v>123</v>
      </c>
      <c r="D262" t="s">
        <v>124</v>
      </c>
      <c r="E262">
        <v>3116.64</v>
      </c>
      <c r="F262" t="str">
        <f t="shared" si="4"/>
        <v>S238_HIGIENIZAÇÃO GETSEMANI</v>
      </c>
    </row>
    <row r="263" spans="1:6" x14ac:dyDescent="0.3">
      <c r="A263" s="2">
        <v>45627</v>
      </c>
      <c r="B263" t="s">
        <v>282</v>
      </c>
      <c r="C263">
        <v>1001</v>
      </c>
      <c r="D263" t="s">
        <v>3</v>
      </c>
      <c r="E263">
        <v>473229.13</v>
      </c>
      <c r="F263" t="str">
        <f t="shared" si="4"/>
        <v>1001_CENTRO UNIVERSITÁRIO UNIHORIZONTES</v>
      </c>
    </row>
    <row r="264" spans="1:6" x14ac:dyDescent="0.3">
      <c r="A264" s="2">
        <v>45627</v>
      </c>
      <c r="B264" t="s">
        <v>282</v>
      </c>
      <c r="C264" t="s">
        <v>4</v>
      </c>
      <c r="D264" t="s">
        <v>5</v>
      </c>
      <c r="E264">
        <v>5883.0099999999984</v>
      </c>
      <c r="F264" t="str">
        <f t="shared" si="4"/>
        <v>1001A_FACULDADE NOVOS HORIZONTES</v>
      </c>
    </row>
    <row r="265" spans="1:6" x14ac:dyDescent="0.3">
      <c r="A265" s="2">
        <v>45627</v>
      </c>
      <c r="B265" t="s">
        <v>282</v>
      </c>
      <c r="C265">
        <v>1011</v>
      </c>
      <c r="D265" t="s">
        <v>6</v>
      </c>
      <c r="E265">
        <v>21001.5</v>
      </c>
      <c r="F265" t="str">
        <f t="shared" si="4"/>
        <v>1011_OPTICA VISAR</v>
      </c>
    </row>
    <row r="266" spans="1:6" x14ac:dyDescent="0.3">
      <c r="A266" s="2">
        <v>45627</v>
      </c>
      <c r="B266" t="s">
        <v>282</v>
      </c>
      <c r="C266" t="s">
        <v>7</v>
      </c>
      <c r="D266" t="s">
        <v>8</v>
      </c>
      <c r="E266">
        <v>197970.74</v>
      </c>
      <c r="F266" t="str">
        <f t="shared" si="4"/>
        <v>1015B_LASER FAST DEPILAÇÃO</v>
      </c>
    </row>
    <row r="267" spans="1:6" x14ac:dyDescent="0.3">
      <c r="A267" s="2">
        <v>45627</v>
      </c>
      <c r="B267" t="s">
        <v>282</v>
      </c>
      <c r="C267">
        <v>1027</v>
      </c>
      <c r="D267" t="s">
        <v>9</v>
      </c>
      <c r="E267">
        <v>43353.23</v>
      </c>
      <c r="F267" t="str">
        <f t="shared" si="4"/>
        <v>1027_SAÚDE COM VOCÊ</v>
      </c>
    </row>
    <row r="268" spans="1:6" x14ac:dyDescent="0.3">
      <c r="A268" s="2">
        <v>45627</v>
      </c>
      <c r="B268" t="s">
        <v>282</v>
      </c>
      <c r="C268" t="s">
        <v>10</v>
      </c>
      <c r="D268" t="s">
        <v>127</v>
      </c>
      <c r="E268">
        <v>2133</v>
      </c>
      <c r="F268" t="str">
        <f t="shared" si="4"/>
        <v>1028._OGGI SORVETES</v>
      </c>
    </row>
    <row r="269" spans="1:6" x14ac:dyDescent="0.3">
      <c r="A269" s="2">
        <v>45627</v>
      </c>
      <c r="B269" t="s">
        <v>282</v>
      </c>
      <c r="C269" t="s">
        <v>12</v>
      </c>
      <c r="D269" t="s">
        <v>13</v>
      </c>
      <c r="E269">
        <v>17093.21</v>
      </c>
      <c r="F269" t="str">
        <f t="shared" si="4"/>
        <v>1029._BELLAS UNHAS</v>
      </c>
    </row>
    <row r="270" spans="1:6" x14ac:dyDescent="0.3">
      <c r="A270" s="2">
        <v>45627</v>
      </c>
      <c r="B270" t="s">
        <v>282</v>
      </c>
      <c r="C270" t="s">
        <v>14</v>
      </c>
      <c r="D270" t="s">
        <v>15</v>
      </c>
      <c r="E270">
        <v>77770.779999999984</v>
      </c>
      <c r="F270" t="str">
        <f t="shared" si="4"/>
        <v>106A_TUDO DELAS MAKEUP</v>
      </c>
    </row>
    <row r="271" spans="1:6" x14ac:dyDescent="0.3">
      <c r="A271" s="2">
        <v>45627</v>
      </c>
      <c r="B271" t="s">
        <v>282</v>
      </c>
      <c r="C271">
        <v>114</v>
      </c>
      <c r="D271" t="s">
        <v>18</v>
      </c>
      <c r="E271">
        <v>56763.62000000001</v>
      </c>
      <c r="F271" t="str">
        <f t="shared" si="4"/>
        <v>114_LANCHONETE LONDRES</v>
      </c>
    </row>
    <row r="272" spans="1:6" x14ac:dyDescent="0.3">
      <c r="A272" s="2">
        <v>45627</v>
      </c>
      <c r="B272" t="s">
        <v>282</v>
      </c>
      <c r="C272" t="s">
        <v>19</v>
      </c>
      <c r="D272" t="s">
        <v>20</v>
      </c>
      <c r="E272">
        <v>6101.67</v>
      </c>
      <c r="F272" t="str">
        <f t="shared" si="4"/>
        <v>125-127_INSTITUTO GOURMET</v>
      </c>
    </row>
    <row r="273" spans="1:6" x14ac:dyDescent="0.3">
      <c r="A273" s="2">
        <v>45627</v>
      </c>
      <c r="B273" t="s">
        <v>282</v>
      </c>
      <c r="C273">
        <v>138</v>
      </c>
      <c r="D273" t="s">
        <v>112</v>
      </c>
      <c r="E273">
        <v>20512.099999999999</v>
      </c>
      <c r="F273" t="str">
        <f t="shared" si="4"/>
        <v>138_CREPERIA</v>
      </c>
    </row>
    <row r="274" spans="1:6" x14ac:dyDescent="0.3">
      <c r="A274" s="2">
        <v>45627</v>
      </c>
      <c r="B274" t="s">
        <v>282</v>
      </c>
      <c r="C274" t="s">
        <v>25</v>
      </c>
      <c r="D274" t="s">
        <v>26</v>
      </c>
      <c r="E274">
        <v>75246.089999999909</v>
      </c>
      <c r="F274" t="str">
        <f t="shared" si="4"/>
        <v>2007/2008_MULTICAPAS</v>
      </c>
    </row>
    <row r="275" spans="1:6" x14ac:dyDescent="0.3">
      <c r="A275" s="2">
        <v>45627</v>
      </c>
      <c r="B275" t="s">
        <v>282</v>
      </c>
      <c r="C275">
        <v>2040</v>
      </c>
      <c r="D275" t="s">
        <v>28</v>
      </c>
      <c r="E275">
        <v>8011.260000000002</v>
      </c>
      <c r="F275" t="str">
        <f t="shared" si="4"/>
        <v>2040_THALES FOTOGRAFIA</v>
      </c>
    </row>
    <row r="276" spans="1:6" x14ac:dyDescent="0.3">
      <c r="A276" s="2">
        <v>45627</v>
      </c>
      <c r="B276" t="s">
        <v>282</v>
      </c>
      <c r="C276">
        <v>208</v>
      </c>
      <c r="D276" t="s">
        <v>113</v>
      </c>
      <c r="E276">
        <v>10248.19</v>
      </c>
      <c r="F276" t="str">
        <f t="shared" si="4"/>
        <v>208_MARVILLE</v>
      </c>
    </row>
    <row r="277" spans="1:6" x14ac:dyDescent="0.3">
      <c r="A277" s="2">
        <v>45627</v>
      </c>
      <c r="B277" t="s">
        <v>282</v>
      </c>
      <c r="C277">
        <v>223</v>
      </c>
      <c r="D277" t="s">
        <v>29</v>
      </c>
      <c r="E277">
        <v>20806.8</v>
      </c>
      <c r="F277" t="str">
        <f t="shared" si="4"/>
        <v>223_ALPHABETO</v>
      </c>
    </row>
    <row r="278" spans="1:6" x14ac:dyDescent="0.3">
      <c r="A278" s="2">
        <v>45627</v>
      </c>
      <c r="B278" t="s">
        <v>282</v>
      </c>
      <c r="C278">
        <v>235</v>
      </c>
      <c r="D278" t="s">
        <v>31</v>
      </c>
      <c r="E278">
        <v>83974.17</v>
      </c>
      <c r="F278" t="str">
        <f t="shared" si="4"/>
        <v>235_MARISA</v>
      </c>
    </row>
    <row r="279" spans="1:6" x14ac:dyDescent="0.3">
      <c r="A279" s="2">
        <v>45627</v>
      </c>
      <c r="B279" t="s">
        <v>282</v>
      </c>
      <c r="C279">
        <v>237</v>
      </c>
      <c r="D279" t="s">
        <v>102</v>
      </c>
      <c r="E279">
        <v>209.79</v>
      </c>
      <c r="F279" t="str">
        <f t="shared" si="4"/>
        <v>237_JD SKATE</v>
      </c>
    </row>
    <row r="280" spans="1:6" x14ac:dyDescent="0.3">
      <c r="A280" s="2">
        <v>45627</v>
      </c>
      <c r="B280" t="s">
        <v>282</v>
      </c>
      <c r="C280">
        <v>246</v>
      </c>
      <c r="D280" t="s">
        <v>32</v>
      </c>
      <c r="E280">
        <v>73217.440000000017</v>
      </c>
      <c r="F280" t="str">
        <f t="shared" si="4"/>
        <v>246_AMERICANAS</v>
      </c>
    </row>
    <row r="281" spans="1:6" x14ac:dyDescent="0.3">
      <c r="A281" s="2">
        <v>45627</v>
      </c>
      <c r="B281" t="s">
        <v>282</v>
      </c>
      <c r="C281">
        <v>254</v>
      </c>
      <c r="D281" t="s">
        <v>137</v>
      </c>
      <c r="E281">
        <v>7375.619999999999</v>
      </c>
      <c r="F281" t="str">
        <f t="shared" si="4"/>
        <v>254_SOBRANCELHAS</v>
      </c>
    </row>
    <row r="282" spans="1:6" x14ac:dyDescent="0.3">
      <c r="A282" s="2">
        <v>45627</v>
      </c>
      <c r="B282" t="s">
        <v>282</v>
      </c>
      <c r="C282">
        <v>260</v>
      </c>
      <c r="D282" t="s">
        <v>34</v>
      </c>
      <c r="E282">
        <v>74620.850000000064</v>
      </c>
      <c r="F282" t="str">
        <f t="shared" si="4"/>
        <v>260_NEO JÓIAS</v>
      </c>
    </row>
    <row r="283" spans="1:6" x14ac:dyDescent="0.3">
      <c r="A283" s="2">
        <v>45627</v>
      </c>
      <c r="B283" t="s">
        <v>282</v>
      </c>
      <c r="C283">
        <v>262</v>
      </c>
      <c r="D283" t="s">
        <v>35</v>
      </c>
      <c r="E283">
        <v>21117.46</v>
      </c>
      <c r="F283" t="str">
        <f t="shared" si="4"/>
        <v>262_LOJA DO GALO</v>
      </c>
    </row>
    <row r="284" spans="1:6" x14ac:dyDescent="0.3">
      <c r="A284" s="2">
        <v>45627</v>
      </c>
      <c r="B284" t="s">
        <v>282</v>
      </c>
      <c r="C284">
        <v>271</v>
      </c>
      <c r="D284" t="s">
        <v>138</v>
      </c>
      <c r="E284">
        <v>14161.1</v>
      </c>
      <c r="F284" t="str">
        <f t="shared" si="4"/>
        <v>271_ALFAIATARIA</v>
      </c>
    </row>
    <row r="285" spans="1:6" x14ac:dyDescent="0.3">
      <c r="A285" s="2">
        <v>45627</v>
      </c>
      <c r="B285" t="s">
        <v>282</v>
      </c>
      <c r="C285">
        <v>277</v>
      </c>
      <c r="D285" t="s">
        <v>36</v>
      </c>
      <c r="E285">
        <v>151262.51</v>
      </c>
      <c r="F285" t="str">
        <f t="shared" si="4"/>
        <v>277_DUCAPS</v>
      </c>
    </row>
    <row r="286" spans="1:6" x14ac:dyDescent="0.3">
      <c r="A286" s="2">
        <v>45627</v>
      </c>
      <c r="B286" t="s">
        <v>282</v>
      </c>
      <c r="C286">
        <v>278</v>
      </c>
      <c r="D286" t="s">
        <v>37</v>
      </c>
      <c r="E286">
        <v>38250.209999999977</v>
      </c>
      <c r="F286" t="str">
        <f t="shared" si="4"/>
        <v>278_RF STORE</v>
      </c>
    </row>
    <row r="287" spans="1:6" x14ac:dyDescent="0.3">
      <c r="A287" s="2">
        <v>45627</v>
      </c>
      <c r="B287" t="s">
        <v>282</v>
      </c>
      <c r="C287">
        <v>297</v>
      </c>
      <c r="D287" t="s">
        <v>139</v>
      </c>
      <c r="E287">
        <v>9051.8100000000013</v>
      </c>
      <c r="F287" t="str">
        <f t="shared" si="4"/>
        <v>297_CLUBE MELISSA</v>
      </c>
    </row>
    <row r="288" spans="1:6" x14ac:dyDescent="0.3">
      <c r="A288" s="2">
        <v>45627</v>
      </c>
      <c r="B288" t="s">
        <v>282</v>
      </c>
      <c r="C288" t="s">
        <v>82</v>
      </c>
      <c r="D288" t="s">
        <v>22</v>
      </c>
      <c r="E288">
        <v>25.1</v>
      </c>
      <c r="F288" t="str">
        <f t="shared" si="4"/>
        <v>307._POLO WEAR</v>
      </c>
    </row>
    <row r="289" spans="1:6" x14ac:dyDescent="0.3">
      <c r="A289" s="2">
        <v>45627</v>
      </c>
      <c r="B289" t="s">
        <v>282</v>
      </c>
      <c r="C289" t="s">
        <v>140</v>
      </c>
      <c r="D289" t="s">
        <v>141</v>
      </c>
      <c r="E289">
        <v>843.91000000000008</v>
      </c>
      <c r="F289" t="str">
        <f t="shared" si="4"/>
        <v>308._PIZZA HUT</v>
      </c>
    </row>
    <row r="290" spans="1:6" x14ac:dyDescent="0.3">
      <c r="A290" s="2">
        <v>45627</v>
      </c>
      <c r="B290" t="s">
        <v>282</v>
      </c>
      <c r="C290" t="s">
        <v>38</v>
      </c>
      <c r="D290" t="s">
        <v>39</v>
      </c>
      <c r="E290">
        <v>42084.09</v>
      </c>
      <c r="F290" t="str">
        <f t="shared" si="4"/>
        <v>315*_HAKUNA BATATA</v>
      </c>
    </row>
    <row r="291" spans="1:6" x14ac:dyDescent="0.3">
      <c r="A291" s="2">
        <v>45627</v>
      </c>
      <c r="B291" t="s">
        <v>282</v>
      </c>
      <c r="C291">
        <v>321</v>
      </c>
      <c r="D291" t="s">
        <v>40</v>
      </c>
      <c r="E291">
        <v>37621.03</v>
      </c>
      <c r="F291" t="str">
        <f t="shared" si="4"/>
        <v>321_APERTE PLAY</v>
      </c>
    </row>
    <row r="292" spans="1:6" x14ac:dyDescent="0.3">
      <c r="A292" s="2">
        <v>45627</v>
      </c>
      <c r="B292" t="s">
        <v>282</v>
      </c>
      <c r="C292">
        <v>329</v>
      </c>
      <c r="D292" t="s">
        <v>42</v>
      </c>
      <c r="E292">
        <v>48795.699999999983</v>
      </c>
      <c r="F292" t="str">
        <f t="shared" si="4"/>
        <v>329_HOT GRILL</v>
      </c>
    </row>
    <row r="293" spans="1:6" x14ac:dyDescent="0.3">
      <c r="A293" s="2">
        <v>45627</v>
      </c>
      <c r="B293" t="s">
        <v>282</v>
      </c>
      <c r="C293">
        <v>332</v>
      </c>
      <c r="D293" t="s">
        <v>43</v>
      </c>
      <c r="E293">
        <v>101679.83</v>
      </c>
      <c r="F293" t="str">
        <f t="shared" si="4"/>
        <v>332_SPOLETO</v>
      </c>
    </row>
    <row r="294" spans="1:6" x14ac:dyDescent="0.3">
      <c r="A294" s="2">
        <v>45627</v>
      </c>
      <c r="B294" t="s">
        <v>282</v>
      </c>
      <c r="C294">
        <v>417</v>
      </c>
      <c r="D294" t="s">
        <v>45</v>
      </c>
      <c r="E294">
        <v>237815.32</v>
      </c>
      <c r="F294" t="str">
        <f t="shared" si="4"/>
        <v>417_BELEZA NATURAL</v>
      </c>
    </row>
    <row r="295" spans="1:6" x14ac:dyDescent="0.3">
      <c r="A295" s="2">
        <v>45627</v>
      </c>
      <c r="B295" t="s">
        <v>282</v>
      </c>
      <c r="C295">
        <v>418</v>
      </c>
      <c r="D295" t="s">
        <v>46</v>
      </c>
      <c r="E295">
        <v>698427.38999999932</v>
      </c>
      <c r="F295" t="str">
        <f t="shared" si="4"/>
        <v>418_TOQUE NATURAL</v>
      </c>
    </row>
    <row r="296" spans="1:6" x14ac:dyDescent="0.3">
      <c r="A296" s="2">
        <v>45627</v>
      </c>
      <c r="B296" t="s">
        <v>282</v>
      </c>
      <c r="C296" t="s">
        <v>47</v>
      </c>
      <c r="D296" t="s">
        <v>48</v>
      </c>
      <c r="E296">
        <v>3808.130000000001</v>
      </c>
      <c r="F296" t="str">
        <f t="shared" si="4"/>
        <v>D14_DEPÓSITO LINDAS E CHIC'S</v>
      </c>
    </row>
    <row r="297" spans="1:6" x14ac:dyDescent="0.3">
      <c r="A297" s="2">
        <v>45627</v>
      </c>
      <c r="B297" t="s">
        <v>282</v>
      </c>
      <c r="C297" t="s">
        <v>142</v>
      </c>
      <c r="D297" t="s">
        <v>143</v>
      </c>
      <c r="E297">
        <v>620.62</v>
      </c>
      <c r="F297" t="str">
        <f t="shared" si="4"/>
        <v>D309_CLUBE MELISSA - DEPÓSITO</v>
      </c>
    </row>
    <row r="298" spans="1:6" x14ac:dyDescent="0.3">
      <c r="A298" s="2">
        <v>45627</v>
      </c>
      <c r="B298" t="s">
        <v>282</v>
      </c>
      <c r="C298" t="s">
        <v>144</v>
      </c>
      <c r="D298" t="s">
        <v>145</v>
      </c>
      <c r="E298">
        <v>496.77</v>
      </c>
      <c r="F298" t="str">
        <f t="shared" si="4"/>
        <v>D417-7_BRASIL CACAU - DEPÓSITO</v>
      </c>
    </row>
    <row r="299" spans="1:6" x14ac:dyDescent="0.3">
      <c r="A299" s="2">
        <v>45627</v>
      </c>
      <c r="B299" t="s">
        <v>282</v>
      </c>
      <c r="C299" t="s">
        <v>53</v>
      </c>
      <c r="D299" t="s">
        <v>54</v>
      </c>
      <c r="E299">
        <v>31500</v>
      </c>
      <c r="F299" t="str">
        <f t="shared" si="4"/>
        <v>M041_PLACA NOVOS HORIZONTES</v>
      </c>
    </row>
    <row r="300" spans="1:6" x14ac:dyDescent="0.3">
      <c r="A300" s="2">
        <v>45627</v>
      </c>
      <c r="B300" t="s">
        <v>282</v>
      </c>
      <c r="C300" t="s">
        <v>105</v>
      </c>
      <c r="D300" t="s">
        <v>146</v>
      </c>
      <c r="E300">
        <v>1000</v>
      </c>
      <c r="F300" t="str">
        <f t="shared" si="4"/>
        <v>MIN04_OGGI SORVETES - MIDIA INAUGURAL</v>
      </c>
    </row>
    <row r="301" spans="1:6" x14ac:dyDescent="0.3">
      <c r="A301" s="2">
        <v>45627</v>
      </c>
      <c r="B301" t="s">
        <v>282</v>
      </c>
      <c r="C301" t="s">
        <v>147</v>
      </c>
      <c r="D301" t="s">
        <v>148</v>
      </c>
      <c r="E301">
        <v>52.42</v>
      </c>
      <c r="F301" t="str">
        <f t="shared" si="4"/>
        <v>MPE001_SAFARI EVENTOS</v>
      </c>
    </row>
    <row r="302" spans="1:6" x14ac:dyDescent="0.3">
      <c r="A302" s="2">
        <v>45627</v>
      </c>
      <c r="B302" t="s">
        <v>282</v>
      </c>
      <c r="C302" t="s">
        <v>59</v>
      </c>
      <c r="D302" t="s">
        <v>60</v>
      </c>
      <c r="E302">
        <v>70468.75</v>
      </c>
      <c r="F302" t="str">
        <f t="shared" si="4"/>
        <v>P202_LP IMPORTS</v>
      </c>
    </row>
    <row r="303" spans="1:6" x14ac:dyDescent="0.3">
      <c r="A303" s="2">
        <v>45627</v>
      </c>
      <c r="B303" t="s">
        <v>282</v>
      </c>
      <c r="C303" t="s">
        <v>149</v>
      </c>
      <c r="D303" t="s">
        <v>150</v>
      </c>
      <c r="E303">
        <v>15124.7</v>
      </c>
      <c r="F303" t="str">
        <f t="shared" si="4"/>
        <v>Q102_BURGER KING</v>
      </c>
    </row>
    <row r="304" spans="1:6" x14ac:dyDescent="0.3">
      <c r="A304" s="2">
        <v>45627</v>
      </c>
      <c r="B304" t="s">
        <v>282</v>
      </c>
      <c r="C304" t="s">
        <v>63</v>
      </c>
      <c r="D304" t="s">
        <v>64</v>
      </c>
      <c r="E304">
        <v>39962.980000000003</v>
      </c>
      <c r="F304" t="str">
        <f t="shared" si="4"/>
        <v>Q103/107_REI DAS CAPAS</v>
      </c>
    </row>
    <row r="305" spans="1:6" x14ac:dyDescent="0.3">
      <c r="A305" s="2">
        <v>45627</v>
      </c>
      <c r="B305" t="s">
        <v>282</v>
      </c>
      <c r="C305" t="s">
        <v>67</v>
      </c>
      <c r="D305" t="s">
        <v>68</v>
      </c>
      <c r="E305">
        <v>5423.22</v>
      </c>
      <c r="F305" t="str">
        <f t="shared" si="4"/>
        <v>Q113_ESTAÇÃO HOT DOG</v>
      </c>
    </row>
    <row r="306" spans="1:6" x14ac:dyDescent="0.3">
      <c r="A306" s="2">
        <v>45627</v>
      </c>
      <c r="B306" t="s">
        <v>282</v>
      </c>
      <c r="C306" t="s">
        <v>70</v>
      </c>
      <c r="D306" t="s">
        <v>71</v>
      </c>
      <c r="E306">
        <v>56647.14</v>
      </c>
      <c r="F306" t="str">
        <f t="shared" si="4"/>
        <v>Q128_M &amp; CREPES</v>
      </c>
    </row>
    <row r="307" spans="1:6" x14ac:dyDescent="0.3">
      <c r="A307" s="2">
        <v>45627</v>
      </c>
      <c r="B307" t="s">
        <v>282</v>
      </c>
      <c r="C307" t="s">
        <v>151</v>
      </c>
      <c r="D307" t="s">
        <v>150</v>
      </c>
      <c r="E307">
        <v>11427.56</v>
      </c>
      <c r="F307" t="str">
        <f t="shared" si="4"/>
        <v>Q314_BURGER KING</v>
      </c>
    </row>
    <row r="308" spans="1:6" x14ac:dyDescent="0.3">
      <c r="A308" s="2">
        <v>45627</v>
      </c>
      <c r="B308" t="s">
        <v>282</v>
      </c>
      <c r="C308" t="s">
        <v>152</v>
      </c>
      <c r="D308" t="s">
        <v>153</v>
      </c>
      <c r="E308">
        <v>4168.46</v>
      </c>
      <c r="F308" t="str">
        <f t="shared" si="4"/>
        <v>QPE04_CARACOL ENTRETENIMENTOS</v>
      </c>
    </row>
    <row r="309" spans="1:6" x14ac:dyDescent="0.3">
      <c r="A309" s="2">
        <v>45627</v>
      </c>
      <c r="B309" t="s">
        <v>283</v>
      </c>
      <c r="C309">
        <v>103</v>
      </c>
      <c r="D309" t="s">
        <v>74</v>
      </c>
      <c r="E309">
        <v>99940.69</v>
      </c>
      <c r="F309" t="str">
        <f t="shared" si="4"/>
        <v>103_MERCADO DO CARRO</v>
      </c>
    </row>
    <row r="310" spans="1:6" x14ac:dyDescent="0.3">
      <c r="A310" s="2">
        <v>45627</v>
      </c>
      <c r="B310" t="s">
        <v>283</v>
      </c>
      <c r="C310" t="s">
        <v>75</v>
      </c>
      <c r="D310" t="s">
        <v>76</v>
      </c>
      <c r="E310">
        <v>165617.75</v>
      </c>
      <c r="F310" t="str">
        <f t="shared" si="4"/>
        <v>105/106_DOMINO'S PIZZA</v>
      </c>
    </row>
    <row r="311" spans="1:6" x14ac:dyDescent="0.3">
      <c r="A311" s="2">
        <v>45627</v>
      </c>
      <c r="B311" t="s">
        <v>283</v>
      </c>
      <c r="C311">
        <v>109</v>
      </c>
      <c r="D311" t="s">
        <v>77</v>
      </c>
      <c r="E311">
        <v>211833.72</v>
      </c>
      <c r="F311" t="str">
        <f t="shared" si="4"/>
        <v>109_AÇAFRÃO DA TERRA</v>
      </c>
    </row>
    <row r="312" spans="1:6" x14ac:dyDescent="0.3">
      <c r="A312" s="2">
        <v>45627</v>
      </c>
      <c r="B312" t="s">
        <v>283</v>
      </c>
      <c r="C312">
        <v>119</v>
      </c>
      <c r="D312" t="s">
        <v>78</v>
      </c>
      <c r="E312">
        <v>8797.66</v>
      </c>
      <c r="F312" t="str">
        <f t="shared" si="4"/>
        <v>119_CACAU SHOW</v>
      </c>
    </row>
    <row r="313" spans="1:6" x14ac:dyDescent="0.3">
      <c r="A313" s="2">
        <v>45627</v>
      </c>
      <c r="B313" t="s">
        <v>283</v>
      </c>
      <c r="C313">
        <v>121</v>
      </c>
      <c r="D313" t="s">
        <v>154</v>
      </c>
      <c r="E313">
        <v>2519.69</v>
      </c>
      <c r="F313" t="str">
        <f t="shared" si="4"/>
        <v>121_SPACE PHONE</v>
      </c>
    </row>
    <row r="314" spans="1:6" x14ac:dyDescent="0.3">
      <c r="A314" s="2">
        <v>45627</v>
      </c>
      <c r="B314" t="s">
        <v>283</v>
      </c>
      <c r="C314">
        <v>216</v>
      </c>
      <c r="D314" t="s">
        <v>80</v>
      </c>
      <c r="E314">
        <v>25623.79</v>
      </c>
      <c r="F314" t="str">
        <f t="shared" si="4"/>
        <v>216_.SHOES</v>
      </c>
    </row>
    <row r="315" spans="1:6" x14ac:dyDescent="0.3">
      <c r="A315" s="2">
        <v>45627</v>
      </c>
      <c r="B315" t="s">
        <v>283</v>
      </c>
      <c r="C315">
        <v>303</v>
      </c>
      <c r="D315" t="s">
        <v>81</v>
      </c>
      <c r="E315">
        <v>19162.360000000019</v>
      </c>
      <c r="F315" t="str">
        <f t="shared" si="4"/>
        <v>303_BABALOO ACESSÓRIOS</v>
      </c>
    </row>
    <row r="316" spans="1:6" x14ac:dyDescent="0.3">
      <c r="A316" s="2">
        <v>45627</v>
      </c>
      <c r="B316" t="s">
        <v>283</v>
      </c>
      <c r="C316">
        <v>309</v>
      </c>
      <c r="D316" t="s">
        <v>155</v>
      </c>
      <c r="E316">
        <v>2449.94</v>
      </c>
      <c r="F316" t="str">
        <f t="shared" si="4"/>
        <v>309_D' CASA SABORES</v>
      </c>
    </row>
    <row r="317" spans="1:6" x14ac:dyDescent="0.3">
      <c r="A317" s="2">
        <v>45627</v>
      </c>
      <c r="B317" t="s">
        <v>283</v>
      </c>
      <c r="C317">
        <v>313</v>
      </c>
      <c r="D317" t="s">
        <v>84</v>
      </c>
      <c r="E317">
        <v>123970.76</v>
      </c>
      <c r="F317" t="str">
        <f t="shared" si="4"/>
        <v>313_FATO A MANO FEMININO</v>
      </c>
    </row>
    <row r="318" spans="1:6" x14ac:dyDescent="0.3">
      <c r="A318" s="2">
        <v>45627</v>
      </c>
      <c r="B318" t="s">
        <v>283</v>
      </c>
      <c r="C318">
        <v>317</v>
      </c>
      <c r="D318" t="s">
        <v>85</v>
      </c>
      <c r="E318">
        <v>58193.000000000007</v>
      </c>
      <c r="F318" t="str">
        <f t="shared" si="4"/>
        <v>317_FLOW</v>
      </c>
    </row>
    <row r="319" spans="1:6" x14ac:dyDescent="0.3">
      <c r="A319" s="2">
        <v>45627</v>
      </c>
      <c r="B319" t="s">
        <v>283</v>
      </c>
      <c r="C319">
        <v>344</v>
      </c>
      <c r="D319" t="s">
        <v>86</v>
      </c>
      <c r="E319">
        <v>18172.73</v>
      </c>
      <c r="F319" t="str">
        <f t="shared" si="4"/>
        <v>344_BY BLITZ</v>
      </c>
    </row>
    <row r="320" spans="1:6" x14ac:dyDescent="0.3">
      <c r="A320" s="2">
        <v>45627</v>
      </c>
      <c r="B320" t="s">
        <v>283</v>
      </c>
      <c r="C320" t="s">
        <v>87</v>
      </c>
      <c r="D320" t="s">
        <v>88</v>
      </c>
      <c r="E320">
        <v>65204.400000000009</v>
      </c>
      <c r="F320" t="str">
        <f t="shared" si="4"/>
        <v>Q111_CIA DA EMPADA</v>
      </c>
    </row>
    <row r="321" spans="1:6" x14ac:dyDescent="0.3">
      <c r="A321" s="2">
        <v>45627</v>
      </c>
      <c r="B321" t="s">
        <v>283</v>
      </c>
      <c r="C321" t="s">
        <v>89</v>
      </c>
      <c r="D321" t="s">
        <v>90</v>
      </c>
      <c r="E321">
        <v>38595.820000000007</v>
      </c>
      <c r="F321" t="str">
        <f t="shared" si="4"/>
        <v>Q115A_JAH DO AÇAÍ</v>
      </c>
    </row>
    <row r="322" spans="1:6" x14ac:dyDescent="0.3">
      <c r="A322" s="2">
        <v>45627</v>
      </c>
      <c r="B322" t="s">
        <v>283</v>
      </c>
      <c r="C322" t="s">
        <v>91</v>
      </c>
      <c r="D322" t="s">
        <v>92</v>
      </c>
      <c r="E322">
        <v>13073.36</v>
      </c>
      <c r="F322" t="str">
        <f t="shared" si="4"/>
        <v>Q135_PELE DE BONECA MAKE UP</v>
      </c>
    </row>
    <row r="323" spans="1:6" x14ac:dyDescent="0.3">
      <c r="A323" s="2">
        <v>45627</v>
      </c>
      <c r="B323" t="s">
        <v>283</v>
      </c>
      <c r="C323" t="s">
        <v>93</v>
      </c>
      <c r="D323" t="s">
        <v>94</v>
      </c>
      <c r="E323">
        <v>118387.4</v>
      </c>
      <c r="F323" t="str">
        <f t="shared" ref="F323:F386" si="5">C323&amp;"_"&amp;D323</f>
        <v>S1 E S2_PRATIQUE FITNESS</v>
      </c>
    </row>
    <row r="324" spans="1:6" x14ac:dyDescent="0.3">
      <c r="A324" s="2">
        <v>45627</v>
      </c>
      <c r="B324" t="s">
        <v>283</v>
      </c>
      <c r="C324" t="s">
        <v>95</v>
      </c>
      <c r="D324" t="s">
        <v>32</v>
      </c>
      <c r="E324">
        <v>43479.94</v>
      </c>
      <c r="F324" t="str">
        <f t="shared" si="5"/>
        <v>S200_AMERICANAS</v>
      </c>
    </row>
    <row r="325" spans="1:6" x14ac:dyDescent="0.3">
      <c r="A325" s="2">
        <v>45627</v>
      </c>
      <c r="B325" t="s">
        <v>283</v>
      </c>
      <c r="C325" t="s">
        <v>100</v>
      </c>
      <c r="D325" t="s">
        <v>101</v>
      </c>
      <c r="E325">
        <v>2612.3000000000002</v>
      </c>
      <c r="F325" t="str">
        <f t="shared" si="5"/>
        <v>S220._BARATO E FÁCIL</v>
      </c>
    </row>
    <row r="326" spans="1:6" x14ac:dyDescent="0.3">
      <c r="A326" s="2">
        <v>45627</v>
      </c>
      <c r="B326" t="s">
        <v>283</v>
      </c>
      <c r="C326" t="s">
        <v>123</v>
      </c>
      <c r="D326" t="s">
        <v>124</v>
      </c>
      <c r="E326">
        <v>3116.64</v>
      </c>
      <c r="F326" t="str">
        <f t="shared" si="5"/>
        <v>S238_HIGIENIZAÇÃO GETSEMANI</v>
      </c>
    </row>
    <row r="327" spans="1:6" x14ac:dyDescent="0.3">
      <c r="A327" s="2">
        <v>45658</v>
      </c>
      <c r="B327" t="s">
        <v>282</v>
      </c>
      <c r="C327">
        <v>1027</v>
      </c>
      <c r="D327" t="s">
        <v>9</v>
      </c>
      <c r="E327">
        <v>52927.01</v>
      </c>
      <c r="F327" t="str">
        <f t="shared" si="5"/>
        <v>1027_SAÚDE COM VOCÊ</v>
      </c>
    </row>
    <row r="328" spans="1:6" x14ac:dyDescent="0.3">
      <c r="A328" s="2">
        <v>45658</v>
      </c>
      <c r="B328" t="s">
        <v>282</v>
      </c>
      <c r="C328" t="s">
        <v>10</v>
      </c>
      <c r="D328" t="s">
        <v>127</v>
      </c>
      <c r="E328">
        <v>1599.75</v>
      </c>
      <c r="F328" t="str">
        <f t="shared" si="5"/>
        <v>1028._OGGI SORVETES</v>
      </c>
    </row>
    <row r="329" spans="1:6" x14ac:dyDescent="0.3">
      <c r="A329" s="2">
        <v>45658</v>
      </c>
      <c r="B329" t="s">
        <v>282</v>
      </c>
      <c r="C329" t="s">
        <v>12</v>
      </c>
      <c r="D329" t="s">
        <v>13</v>
      </c>
      <c r="E329">
        <v>17093.21</v>
      </c>
      <c r="F329" t="str">
        <f t="shared" si="5"/>
        <v>1029._BELLAS UNHAS</v>
      </c>
    </row>
    <row r="330" spans="1:6" x14ac:dyDescent="0.3">
      <c r="A330" s="2">
        <v>45658</v>
      </c>
      <c r="B330" t="s">
        <v>282</v>
      </c>
      <c r="C330" t="s">
        <v>14</v>
      </c>
      <c r="D330" t="s">
        <v>15</v>
      </c>
      <c r="E330">
        <v>61181.09</v>
      </c>
      <c r="F330" t="str">
        <f t="shared" si="5"/>
        <v>106A_TUDO DELAS MAKEUP</v>
      </c>
    </row>
    <row r="331" spans="1:6" x14ac:dyDescent="0.3">
      <c r="A331" s="2">
        <v>45658</v>
      </c>
      <c r="B331" t="s">
        <v>282</v>
      </c>
      <c r="C331">
        <v>114</v>
      </c>
      <c r="D331" t="s">
        <v>18</v>
      </c>
      <c r="E331">
        <v>49763.62</v>
      </c>
      <c r="F331" t="str">
        <f t="shared" si="5"/>
        <v>114_LANCHONETE LONDRES</v>
      </c>
    </row>
    <row r="332" spans="1:6" x14ac:dyDescent="0.3">
      <c r="A332" s="2">
        <v>45658</v>
      </c>
      <c r="B332" t="s">
        <v>282</v>
      </c>
      <c r="C332">
        <v>138</v>
      </c>
      <c r="D332" t="s">
        <v>112</v>
      </c>
      <c r="E332">
        <v>10072.9</v>
      </c>
      <c r="F332" t="str">
        <f t="shared" si="5"/>
        <v>138_CREPERIA</v>
      </c>
    </row>
    <row r="333" spans="1:6" x14ac:dyDescent="0.3">
      <c r="A333" s="2">
        <v>45658</v>
      </c>
      <c r="B333" t="s">
        <v>282</v>
      </c>
      <c r="C333" t="s">
        <v>25</v>
      </c>
      <c r="D333" t="s">
        <v>26</v>
      </c>
      <c r="E333">
        <v>75246.09</v>
      </c>
      <c r="F333" t="str">
        <f t="shared" si="5"/>
        <v>2007/2008_MULTICAPAS</v>
      </c>
    </row>
    <row r="334" spans="1:6" x14ac:dyDescent="0.3">
      <c r="A334" s="2">
        <v>45658</v>
      </c>
      <c r="B334" t="s">
        <v>282</v>
      </c>
      <c r="C334">
        <v>2040</v>
      </c>
      <c r="D334" t="s">
        <v>28</v>
      </c>
      <c r="E334">
        <v>7121.12</v>
      </c>
      <c r="F334" t="str">
        <f t="shared" si="5"/>
        <v>2040_THALES FOTOGRAFIA</v>
      </c>
    </row>
    <row r="335" spans="1:6" x14ac:dyDescent="0.3">
      <c r="A335" s="2">
        <v>45658</v>
      </c>
      <c r="B335" t="s">
        <v>282</v>
      </c>
      <c r="C335">
        <v>223</v>
      </c>
      <c r="D335" t="s">
        <v>29</v>
      </c>
      <c r="E335">
        <v>24629.23</v>
      </c>
      <c r="F335" t="str">
        <f t="shared" si="5"/>
        <v>223_ALPHABETO</v>
      </c>
    </row>
    <row r="336" spans="1:6" x14ac:dyDescent="0.3">
      <c r="A336" s="2">
        <v>45658</v>
      </c>
      <c r="B336" t="s">
        <v>282</v>
      </c>
      <c r="C336">
        <v>235</v>
      </c>
      <c r="D336" t="s">
        <v>31</v>
      </c>
      <c r="E336">
        <v>107168.48</v>
      </c>
      <c r="F336" t="str">
        <f t="shared" si="5"/>
        <v>235_MARISA</v>
      </c>
    </row>
    <row r="337" spans="1:6" x14ac:dyDescent="0.3">
      <c r="A337" s="2">
        <v>45658</v>
      </c>
      <c r="B337" t="s">
        <v>282</v>
      </c>
      <c r="C337">
        <v>237</v>
      </c>
      <c r="D337" t="s">
        <v>102</v>
      </c>
      <c r="E337">
        <v>209.79</v>
      </c>
      <c r="F337" t="str">
        <f t="shared" si="5"/>
        <v>237_JD SKATE</v>
      </c>
    </row>
    <row r="338" spans="1:6" x14ac:dyDescent="0.3">
      <c r="A338" s="2">
        <v>45658</v>
      </c>
      <c r="B338" t="s">
        <v>282</v>
      </c>
      <c r="C338">
        <v>246</v>
      </c>
      <c r="D338" t="s">
        <v>32</v>
      </c>
      <c r="E338">
        <v>72564.63</v>
      </c>
      <c r="F338" t="str">
        <f t="shared" si="5"/>
        <v>246_AMERICANAS</v>
      </c>
    </row>
    <row r="339" spans="1:6" x14ac:dyDescent="0.3">
      <c r="A339" s="2">
        <v>45658</v>
      </c>
      <c r="B339" t="s">
        <v>282</v>
      </c>
      <c r="C339">
        <v>254</v>
      </c>
      <c r="D339" t="s">
        <v>137</v>
      </c>
      <c r="E339">
        <v>3687.81</v>
      </c>
      <c r="F339" t="str">
        <f t="shared" si="5"/>
        <v>254_SOBRANCELHAS</v>
      </c>
    </row>
    <row r="340" spans="1:6" x14ac:dyDescent="0.3">
      <c r="A340" s="2">
        <v>45658</v>
      </c>
      <c r="B340" t="s">
        <v>282</v>
      </c>
      <c r="C340">
        <v>260</v>
      </c>
      <c r="D340" t="s">
        <v>34</v>
      </c>
      <c r="E340">
        <v>64617.99</v>
      </c>
      <c r="F340" t="str">
        <f t="shared" si="5"/>
        <v>260_NEO JÓIAS</v>
      </c>
    </row>
    <row r="341" spans="1:6" x14ac:dyDescent="0.3">
      <c r="A341" s="2">
        <v>45658</v>
      </c>
      <c r="B341" t="s">
        <v>282</v>
      </c>
      <c r="C341">
        <v>262</v>
      </c>
      <c r="D341" t="s">
        <v>35</v>
      </c>
      <c r="E341">
        <v>30281.32</v>
      </c>
      <c r="F341" t="str">
        <f t="shared" si="5"/>
        <v>262_LOJA DO GALO</v>
      </c>
    </row>
    <row r="342" spans="1:6" x14ac:dyDescent="0.3">
      <c r="A342" s="2">
        <v>45658</v>
      </c>
      <c r="B342" t="s">
        <v>282</v>
      </c>
      <c r="C342">
        <v>271</v>
      </c>
      <c r="D342" t="s">
        <v>138</v>
      </c>
      <c r="E342">
        <v>14161.1</v>
      </c>
      <c r="F342" t="str">
        <f t="shared" si="5"/>
        <v>271_ALFAIATARIA</v>
      </c>
    </row>
    <row r="343" spans="1:6" x14ac:dyDescent="0.3">
      <c r="A343" s="2">
        <v>45658</v>
      </c>
      <c r="B343" t="s">
        <v>282</v>
      </c>
      <c r="C343">
        <v>277</v>
      </c>
      <c r="D343" t="s">
        <v>36</v>
      </c>
      <c r="E343">
        <v>151262.51</v>
      </c>
      <c r="F343" t="str">
        <f t="shared" si="5"/>
        <v>277_DUCAPS</v>
      </c>
    </row>
    <row r="344" spans="1:6" x14ac:dyDescent="0.3">
      <c r="A344" s="2">
        <v>45658</v>
      </c>
      <c r="B344" t="s">
        <v>282</v>
      </c>
      <c r="C344" t="s">
        <v>82</v>
      </c>
      <c r="D344" t="s">
        <v>22</v>
      </c>
      <c r="E344">
        <v>25.1</v>
      </c>
      <c r="F344" t="str">
        <f t="shared" si="5"/>
        <v>307._POLO WEAR</v>
      </c>
    </row>
    <row r="345" spans="1:6" x14ac:dyDescent="0.3">
      <c r="A345" s="2">
        <v>45658</v>
      </c>
      <c r="B345" t="s">
        <v>282</v>
      </c>
      <c r="C345" t="s">
        <v>140</v>
      </c>
      <c r="D345" t="s">
        <v>141</v>
      </c>
      <c r="E345">
        <v>1076.71</v>
      </c>
      <c r="F345" t="str">
        <f t="shared" si="5"/>
        <v>308._PIZZA HUT</v>
      </c>
    </row>
    <row r="346" spans="1:6" x14ac:dyDescent="0.3">
      <c r="A346" s="2">
        <v>45658</v>
      </c>
      <c r="B346" t="s">
        <v>282</v>
      </c>
      <c r="C346" t="s">
        <v>38</v>
      </c>
      <c r="D346" t="s">
        <v>39</v>
      </c>
      <c r="E346">
        <v>20579.8</v>
      </c>
      <c r="F346" t="str">
        <f t="shared" si="5"/>
        <v>315*_HAKUNA BATATA</v>
      </c>
    </row>
    <row r="347" spans="1:6" x14ac:dyDescent="0.3">
      <c r="A347" s="2">
        <v>45658</v>
      </c>
      <c r="B347" t="s">
        <v>282</v>
      </c>
      <c r="C347">
        <v>321</v>
      </c>
      <c r="D347" t="s">
        <v>40</v>
      </c>
      <c r="E347">
        <v>11328.46</v>
      </c>
      <c r="F347" t="str">
        <f t="shared" si="5"/>
        <v>321_APERTE PLAY</v>
      </c>
    </row>
    <row r="348" spans="1:6" x14ac:dyDescent="0.3">
      <c r="A348" s="2">
        <v>45658</v>
      </c>
      <c r="B348" t="s">
        <v>282</v>
      </c>
      <c r="C348">
        <v>332</v>
      </c>
      <c r="D348" t="s">
        <v>43</v>
      </c>
      <c r="E348">
        <v>104827.92</v>
      </c>
      <c r="F348" t="str">
        <f t="shared" si="5"/>
        <v>332_SPOLETO</v>
      </c>
    </row>
    <row r="349" spans="1:6" x14ac:dyDescent="0.3">
      <c r="A349" s="2">
        <v>45658</v>
      </c>
      <c r="B349" t="s">
        <v>282</v>
      </c>
      <c r="C349" t="s">
        <v>156</v>
      </c>
      <c r="D349" t="s">
        <v>157</v>
      </c>
      <c r="E349">
        <v>12609.29</v>
      </c>
      <c r="F349" t="str">
        <f t="shared" si="5"/>
        <v>4002._ALP MALHAS</v>
      </c>
    </row>
    <row r="350" spans="1:6" x14ac:dyDescent="0.3">
      <c r="A350" s="2">
        <v>45658</v>
      </c>
      <c r="B350" t="s">
        <v>282</v>
      </c>
      <c r="C350">
        <v>417</v>
      </c>
      <c r="D350" t="s">
        <v>45</v>
      </c>
      <c r="E350">
        <v>226571.19</v>
      </c>
      <c r="F350" t="str">
        <f t="shared" si="5"/>
        <v>417_BELEZA NATURAL</v>
      </c>
    </row>
    <row r="351" spans="1:6" x14ac:dyDescent="0.3">
      <c r="A351" s="2">
        <v>45658</v>
      </c>
      <c r="B351" t="s">
        <v>282</v>
      </c>
      <c r="C351">
        <v>418</v>
      </c>
      <c r="D351" t="s">
        <v>46</v>
      </c>
      <c r="E351">
        <v>714096.78</v>
      </c>
      <c r="F351" t="str">
        <f t="shared" si="5"/>
        <v>418_TOQUE NATURAL</v>
      </c>
    </row>
    <row r="352" spans="1:6" x14ac:dyDescent="0.3">
      <c r="A352" s="2">
        <v>45658</v>
      </c>
      <c r="B352" t="s">
        <v>282</v>
      </c>
      <c r="C352" t="s">
        <v>158</v>
      </c>
      <c r="D352" t="s">
        <v>159</v>
      </c>
      <c r="E352">
        <v>300</v>
      </c>
      <c r="F352" t="str">
        <f t="shared" si="5"/>
        <v>D414-2_WORLD TENNIS - DEPÓSITO</v>
      </c>
    </row>
    <row r="353" spans="1:6" x14ac:dyDescent="0.3">
      <c r="A353" s="2">
        <v>45658</v>
      </c>
      <c r="B353" t="s">
        <v>282</v>
      </c>
      <c r="C353" t="s">
        <v>107</v>
      </c>
      <c r="D353" t="s">
        <v>108</v>
      </c>
      <c r="E353">
        <v>4000</v>
      </c>
      <c r="F353" t="str">
        <f t="shared" si="5"/>
        <v>MIN10_MARVILLE - MÍDIA</v>
      </c>
    </row>
    <row r="354" spans="1:6" x14ac:dyDescent="0.3">
      <c r="A354" s="2">
        <v>45658</v>
      </c>
      <c r="B354" t="s">
        <v>282</v>
      </c>
      <c r="C354" t="s">
        <v>59</v>
      </c>
      <c r="D354" t="s">
        <v>60</v>
      </c>
      <c r="E354">
        <v>86129.78</v>
      </c>
      <c r="F354" t="str">
        <f t="shared" si="5"/>
        <v>P202_LP IMPORTS</v>
      </c>
    </row>
    <row r="355" spans="1:6" x14ac:dyDescent="0.3">
      <c r="A355" s="2">
        <v>45658</v>
      </c>
      <c r="B355" t="s">
        <v>282</v>
      </c>
      <c r="C355" t="s">
        <v>149</v>
      </c>
      <c r="D355" t="s">
        <v>150</v>
      </c>
      <c r="E355">
        <v>22687.05</v>
      </c>
      <c r="F355" t="str">
        <f t="shared" si="5"/>
        <v>Q102_BURGER KING</v>
      </c>
    </row>
    <row r="356" spans="1:6" x14ac:dyDescent="0.3">
      <c r="A356" s="2">
        <v>45658</v>
      </c>
      <c r="B356" t="s">
        <v>282</v>
      </c>
      <c r="C356" t="s">
        <v>63</v>
      </c>
      <c r="D356" t="s">
        <v>64</v>
      </c>
      <c r="E356">
        <v>59069.91</v>
      </c>
      <c r="F356" t="str">
        <f t="shared" si="5"/>
        <v>Q103/107_REI DAS CAPAS</v>
      </c>
    </row>
    <row r="357" spans="1:6" x14ac:dyDescent="0.3">
      <c r="A357" s="2">
        <v>45658</v>
      </c>
      <c r="B357" t="s">
        <v>282</v>
      </c>
      <c r="C357" t="s">
        <v>67</v>
      </c>
      <c r="D357" t="s">
        <v>68</v>
      </c>
      <c r="E357">
        <v>6130.89</v>
      </c>
      <c r="F357" t="str">
        <f t="shared" si="5"/>
        <v>Q113_ESTAÇÃO HOT DOG</v>
      </c>
    </row>
    <row r="358" spans="1:6" x14ac:dyDescent="0.3">
      <c r="A358" s="2">
        <v>45658</v>
      </c>
      <c r="B358" t="s">
        <v>282</v>
      </c>
      <c r="C358" t="s">
        <v>70</v>
      </c>
      <c r="D358" t="s">
        <v>71</v>
      </c>
      <c r="E358">
        <v>67370.2</v>
      </c>
      <c r="F358" t="str">
        <f t="shared" si="5"/>
        <v>Q128_M &amp; CREPES</v>
      </c>
    </row>
    <row r="359" spans="1:6" x14ac:dyDescent="0.3">
      <c r="A359" s="2">
        <v>45658</v>
      </c>
      <c r="B359" t="s">
        <v>282</v>
      </c>
      <c r="C359" t="s">
        <v>160</v>
      </c>
      <c r="D359" t="s">
        <v>161</v>
      </c>
      <c r="E359">
        <v>1663.87</v>
      </c>
      <c r="F359" t="str">
        <f t="shared" si="5"/>
        <v>Q129_PÃO DE QUEIJO RECHEADO</v>
      </c>
    </row>
    <row r="360" spans="1:6" x14ac:dyDescent="0.3">
      <c r="A360" s="2">
        <v>45658</v>
      </c>
      <c r="B360" t="s">
        <v>282</v>
      </c>
      <c r="C360" t="s">
        <v>162</v>
      </c>
      <c r="D360" t="s">
        <v>163</v>
      </c>
      <c r="E360">
        <v>1491.88</v>
      </c>
      <c r="F360" t="str">
        <f t="shared" si="5"/>
        <v>Q214_TÔ BONITA COSMÉTICOS</v>
      </c>
    </row>
    <row r="361" spans="1:6" x14ac:dyDescent="0.3">
      <c r="A361" s="2">
        <v>45658</v>
      </c>
      <c r="B361" t="s">
        <v>282</v>
      </c>
      <c r="C361" t="s">
        <v>164</v>
      </c>
      <c r="D361" t="s">
        <v>165</v>
      </c>
      <c r="E361">
        <v>8844.1200000000008</v>
      </c>
      <c r="F361" t="str">
        <f t="shared" si="5"/>
        <v>Q215_SOLK EYEWEAR</v>
      </c>
    </row>
    <row r="362" spans="1:6" x14ac:dyDescent="0.3">
      <c r="A362" s="2">
        <v>45658</v>
      </c>
      <c r="B362" t="s">
        <v>282</v>
      </c>
      <c r="C362" t="s">
        <v>151</v>
      </c>
      <c r="D362" t="s">
        <v>150</v>
      </c>
      <c r="E362">
        <v>11427.56</v>
      </c>
      <c r="F362" t="str">
        <f t="shared" si="5"/>
        <v>Q314_BURGER KING</v>
      </c>
    </row>
    <row r="363" spans="1:6" x14ac:dyDescent="0.3">
      <c r="A363" s="2">
        <v>45658</v>
      </c>
      <c r="B363" t="s">
        <v>282</v>
      </c>
      <c r="C363" t="s">
        <v>166</v>
      </c>
      <c r="D363" t="s">
        <v>167</v>
      </c>
      <c r="E363">
        <v>5832.86</v>
      </c>
      <c r="F363" t="str">
        <f t="shared" si="5"/>
        <v>Q511_ESTAÇÃO DO HOT DOG</v>
      </c>
    </row>
    <row r="364" spans="1:6" x14ac:dyDescent="0.3">
      <c r="A364" s="2">
        <v>45658</v>
      </c>
      <c r="B364" t="s">
        <v>282</v>
      </c>
      <c r="C364" t="s">
        <v>168</v>
      </c>
      <c r="D364" t="s">
        <v>169</v>
      </c>
      <c r="E364">
        <v>875</v>
      </c>
      <c r="F364" t="str">
        <f t="shared" si="5"/>
        <v>Q519_CHINEMALHAS</v>
      </c>
    </row>
    <row r="365" spans="1:6" x14ac:dyDescent="0.3">
      <c r="A365" s="2">
        <v>45658</v>
      </c>
      <c r="B365" t="s">
        <v>283</v>
      </c>
      <c r="C365" t="s">
        <v>75</v>
      </c>
      <c r="D365" t="s">
        <v>76</v>
      </c>
      <c r="E365">
        <v>171988.66</v>
      </c>
      <c r="F365" t="str">
        <f t="shared" si="5"/>
        <v>105/106_DOMINO'S PIZZA</v>
      </c>
    </row>
    <row r="366" spans="1:6" x14ac:dyDescent="0.3">
      <c r="A366" s="2">
        <v>45658</v>
      </c>
      <c r="B366" t="s">
        <v>283</v>
      </c>
      <c r="C366">
        <v>109</v>
      </c>
      <c r="D366" t="s">
        <v>77</v>
      </c>
      <c r="E366">
        <v>220666.05</v>
      </c>
      <c r="F366" t="str">
        <f t="shared" si="5"/>
        <v>109_AÇAFRÃO DA TERRA</v>
      </c>
    </row>
    <row r="367" spans="1:6" x14ac:dyDescent="0.3">
      <c r="A367" s="2">
        <v>45658</v>
      </c>
      <c r="B367" t="s">
        <v>283</v>
      </c>
      <c r="C367">
        <v>119</v>
      </c>
      <c r="D367" t="s">
        <v>78</v>
      </c>
      <c r="E367">
        <v>4297.66</v>
      </c>
      <c r="F367" t="str">
        <f t="shared" si="5"/>
        <v>119_CACAU SHOW</v>
      </c>
    </row>
    <row r="368" spans="1:6" x14ac:dyDescent="0.3">
      <c r="A368" s="2">
        <v>45658</v>
      </c>
      <c r="B368" t="s">
        <v>283</v>
      </c>
      <c r="C368">
        <v>121</v>
      </c>
      <c r="D368" t="s">
        <v>154</v>
      </c>
      <c r="E368">
        <v>1679.79</v>
      </c>
      <c r="F368" t="str">
        <f t="shared" si="5"/>
        <v>121_SPACE PHONE</v>
      </c>
    </row>
    <row r="369" spans="1:6" x14ac:dyDescent="0.3">
      <c r="A369" s="2">
        <v>45658</v>
      </c>
      <c r="B369" t="s">
        <v>283</v>
      </c>
      <c r="C369">
        <v>216</v>
      </c>
      <c r="D369" t="s">
        <v>80</v>
      </c>
      <c r="E369">
        <v>26188.93</v>
      </c>
      <c r="F369" t="str">
        <f t="shared" si="5"/>
        <v>216_.SHOES</v>
      </c>
    </row>
    <row r="370" spans="1:6" x14ac:dyDescent="0.3">
      <c r="A370" s="2">
        <v>45658</v>
      </c>
      <c r="B370" t="s">
        <v>283</v>
      </c>
      <c r="C370">
        <v>303</v>
      </c>
      <c r="D370" t="s">
        <v>81</v>
      </c>
      <c r="E370">
        <v>7712.07</v>
      </c>
      <c r="F370" t="str">
        <f t="shared" si="5"/>
        <v>303_BABALOO ACESSÓRIOS</v>
      </c>
    </row>
    <row r="371" spans="1:6" x14ac:dyDescent="0.3">
      <c r="A371" s="2">
        <v>45658</v>
      </c>
      <c r="B371" t="s">
        <v>283</v>
      </c>
      <c r="C371">
        <v>309</v>
      </c>
      <c r="D371" t="s">
        <v>155</v>
      </c>
      <c r="E371">
        <v>1224.97</v>
      </c>
      <c r="F371" t="str">
        <f t="shared" si="5"/>
        <v>309_D' CASA SABORES</v>
      </c>
    </row>
    <row r="372" spans="1:6" x14ac:dyDescent="0.3">
      <c r="A372" s="2">
        <v>45658</v>
      </c>
      <c r="B372" t="s">
        <v>283</v>
      </c>
      <c r="C372">
        <v>313</v>
      </c>
      <c r="D372" t="s">
        <v>84</v>
      </c>
      <c r="E372">
        <v>132811.21</v>
      </c>
      <c r="F372" t="str">
        <f t="shared" si="5"/>
        <v>313_FATO A MANO FEMININO</v>
      </c>
    </row>
    <row r="373" spans="1:6" x14ac:dyDescent="0.3">
      <c r="A373" s="2">
        <v>45658</v>
      </c>
      <c r="B373" t="s">
        <v>283</v>
      </c>
      <c r="C373">
        <v>317</v>
      </c>
      <c r="D373" t="s">
        <v>85</v>
      </c>
      <c r="E373">
        <v>57376.03</v>
      </c>
      <c r="F373" t="str">
        <f t="shared" si="5"/>
        <v>317_FLOW</v>
      </c>
    </row>
    <row r="374" spans="1:6" x14ac:dyDescent="0.3">
      <c r="A374" s="2">
        <v>45658</v>
      </c>
      <c r="B374" t="s">
        <v>283</v>
      </c>
      <c r="C374">
        <v>344</v>
      </c>
      <c r="D374" t="s">
        <v>86</v>
      </c>
      <c r="E374">
        <v>8608.24</v>
      </c>
      <c r="F374" t="str">
        <f t="shared" si="5"/>
        <v>344_BY BLITZ</v>
      </c>
    </row>
    <row r="375" spans="1:6" x14ac:dyDescent="0.3">
      <c r="A375" s="2">
        <v>45658</v>
      </c>
      <c r="B375" t="s">
        <v>283</v>
      </c>
      <c r="C375" t="s">
        <v>65</v>
      </c>
      <c r="D375" t="s">
        <v>170</v>
      </c>
      <c r="E375">
        <v>3855.65</v>
      </c>
      <c r="F375" t="str">
        <f t="shared" si="5"/>
        <v>Q109_BETO CHURROS</v>
      </c>
    </row>
    <row r="376" spans="1:6" x14ac:dyDescent="0.3">
      <c r="A376" s="2">
        <v>45658</v>
      </c>
      <c r="B376" t="s">
        <v>283</v>
      </c>
      <c r="C376" t="s">
        <v>87</v>
      </c>
      <c r="D376" t="s">
        <v>88</v>
      </c>
      <c r="E376">
        <v>74316.03</v>
      </c>
      <c r="F376" t="str">
        <f t="shared" si="5"/>
        <v>Q111_CIA DA EMPADA</v>
      </c>
    </row>
    <row r="377" spans="1:6" x14ac:dyDescent="0.3">
      <c r="A377" s="2">
        <v>45658</v>
      </c>
      <c r="B377" t="s">
        <v>283</v>
      </c>
      <c r="C377" t="s">
        <v>89</v>
      </c>
      <c r="D377" t="s">
        <v>90</v>
      </c>
      <c r="E377">
        <v>35893.839999999997</v>
      </c>
      <c r="F377" t="str">
        <f t="shared" si="5"/>
        <v>Q115A_JAH DO AÇAÍ</v>
      </c>
    </row>
    <row r="378" spans="1:6" x14ac:dyDescent="0.3">
      <c r="A378" s="2">
        <v>45658</v>
      </c>
      <c r="B378" t="s">
        <v>283</v>
      </c>
      <c r="C378" t="s">
        <v>91</v>
      </c>
      <c r="D378" t="s">
        <v>92</v>
      </c>
      <c r="E378">
        <v>19074.23</v>
      </c>
      <c r="F378" t="str">
        <f t="shared" si="5"/>
        <v>Q135_PELE DE BONECA MAKE UP</v>
      </c>
    </row>
    <row r="379" spans="1:6" x14ac:dyDescent="0.3">
      <c r="A379" s="2">
        <v>45658</v>
      </c>
      <c r="B379" t="s">
        <v>283</v>
      </c>
      <c r="C379" t="s">
        <v>93</v>
      </c>
      <c r="D379" t="s">
        <v>94</v>
      </c>
      <c r="E379">
        <v>129387.4</v>
      </c>
      <c r="F379" t="str">
        <f t="shared" si="5"/>
        <v>S1 E S2_PRATIQUE FITNESS</v>
      </c>
    </row>
    <row r="380" spans="1:6" x14ac:dyDescent="0.3">
      <c r="A380" s="2">
        <v>45658</v>
      </c>
      <c r="B380" t="s">
        <v>283</v>
      </c>
      <c r="C380" t="s">
        <v>95</v>
      </c>
      <c r="D380" t="s">
        <v>32</v>
      </c>
      <c r="E380">
        <v>42992.27</v>
      </c>
      <c r="F380" t="str">
        <f t="shared" si="5"/>
        <v>S200_AMERICANAS</v>
      </c>
    </row>
    <row r="381" spans="1:6" x14ac:dyDescent="0.3">
      <c r="A381" s="2">
        <v>45658</v>
      </c>
      <c r="B381" t="s">
        <v>283</v>
      </c>
      <c r="C381" t="s">
        <v>100</v>
      </c>
      <c r="D381" t="s">
        <v>101</v>
      </c>
      <c r="E381">
        <v>2505.44</v>
      </c>
      <c r="F381" t="str">
        <f t="shared" si="5"/>
        <v>S220._BARATO E FÁCIL</v>
      </c>
    </row>
    <row r="382" spans="1:6" x14ac:dyDescent="0.3">
      <c r="A382" s="2">
        <v>45658</v>
      </c>
      <c r="B382" t="s">
        <v>283</v>
      </c>
      <c r="C382" t="s">
        <v>123</v>
      </c>
      <c r="D382" t="s">
        <v>124</v>
      </c>
      <c r="E382">
        <v>3116.64</v>
      </c>
      <c r="F382" t="str">
        <f t="shared" si="5"/>
        <v>S238_HIGIENIZAÇÃO GETSEMANI</v>
      </c>
    </row>
    <row r="383" spans="1:6" x14ac:dyDescent="0.3">
      <c r="A383" s="2">
        <v>45689</v>
      </c>
      <c r="B383" t="s">
        <v>282</v>
      </c>
      <c r="C383">
        <v>1027</v>
      </c>
      <c r="D383" t="s">
        <v>9</v>
      </c>
      <c r="E383">
        <v>46861.98000000001</v>
      </c>
      <c r="F383" t="str">
        <f t="shared" si="5"/>
        <v>1027_SAÚDE COM VOCÊ</v>
      </c>
    </row>
    <row r="384" spans="1:6" x14ac:dyDescent="0.3">
      <c r="A384" s="2">
        <v>45689</v>
      </c>
      <c r="B384" t="s">
        <v>282</v>
      </c>
      <c r="C384" t="s">
        <v>10</v>
      </c>
      <c r="D384" t="s">
        <v>127</v>
      </c>
      <c r="E384">
        <v>1066.5</v>
      </c>
      <c r="F384" t="str">
        <f t="shared" si="5"/>
        <v>1028._OGGI SORVETES</v>
      </c>
    </row>
    <row r="385" spans="1:6" x14ac:dyDescent="0.3">
      <c r="A385" s="2">
        <v>45689</v>
      </c>
      <c r="B385" t="s">
        <v>282</v>
      </c>
      <c r="C385" t="s">
        <v>12</v>
      </c>
      <c r="D385" t="s">
        <v>13</v>
      </c>
      <c r="E385">
        <v>17101.580000000009</v>
      </c>
      <c r="F385" t="str">
        <f t="shared" si="5"/>
        <v>1029._BELLAS UNHAS</v>
      </c>
    </row>
    <row r="386" spans="1:6" x14ac:dyDescent="0.3">
      <c r="A386" s="2">
        <v>45689</v>
      </c>
      <c r="B386" t="s">
        <v>282</v>
      </c>
      <c r="C386" t="s">
        <v>14</v>
      </c>
      <c r="D386" t="s">
        <v>15</v>
      </c>
      <c r="E386">
        <v>64286.169999999976</v>
      </c>
      <c r="F386" t="str">
        <f t="shared" si="5"/>
        <v>106A_TUDO DELAS MAKEUP</v>
      </c>
    </row>
    <row r="387" spans="1:6" x14ac:dyDescent="0.3">
      <c r="A387" s="2">
        <v>45689</v>
      </c>
      <c r="B387" t="s">
        <v>282</v>
      </c>
      <c r="C387">
        <v>114</v>
      </c>
      <c r="D387" t="s">
        <v>18</v>
      </c>
      <c r="E387">
        <v>62363.62000000001</v>
      </c>
      <c r="F387" t="str">
        <f t="shared" ref="F387:F450" si="6">C387&amp;"_"&amp;D387</f>
        <v>114_LANCHONETE LONDRES</v>
      </c>
    </row>
    <row r="388" spans="1:6" x14ac:dyDescent="0.3">
      <c r="A388" s="2">
        <v>45689</v>
      </c>
      <c r="B388" t="s">
        <v>282</v>
      </c>
      <c r="C388">
        <v>116</v>
      </c>
      <c r="D388" t="s">
        <v>171</v>
      </c>
      <c r="E388">
        <v>7293.71</v>
      </c>
      <c r="F388" t="str">
        <f t="shared" si="6"/>
        <v>116_CACAU FESTAS</v>
      </c>
    </row>
    <row r="389" spans="1:6" x14ac:dyDescent="0.3">
      <c r="A389" s="2">
        <v>45689</v>
      </c>
      <c r="B389" t="s">
        <v>282</v>
      </c>
      <c r="C389" t="s">
        <v>21</v>
      </c>
      <c r="D389" t="s">
        <v>22</v>
      </c>
      <c r="E389">
        <v>79424.899999999994</v>
      </c>
      <c r="F389" t="str">
        <f t="shared" si="6"/>
        <v>128-137_POLO WEAR</v>
      </c>
    </row>
    <row r="390" spans="1:6" x14ac:dyDescent="0.3">
      <c r="A390" s="2">
        <v>45689</v>
      </c>
      <c r="B390" t="s">
        <v>282</v>
      </c>
      <c r="C390">
        <v>2004</v>
      </c>
      <c r="D390" t="s">
        <v>23</v>
      </c>
      <c r="E390">
        <v>14141.45</v>
      </c>
      <c r="F390" t="str">
        <f t="shared" si="6"/>
        <v>2004_CAFÉ IMPERIAL</v>
      </c>
    </row>
    <row r="391" spans="1:6" x14ac:dyDescent="0.3">
      <c r="A391" s="2">
        <v>45689</v>
      </c>
      <c r="B391" t="s">
        <v>282</v>
      </c>
      <c r="C391" t="s">
        <v>25</v>
      </c>
      <c r="D391" t="s">
        <v>26</v>
      </c>
      <c r="E391">
        <v>57565.210000000086</v>
      </c>
      <c r="F391" t="str">
        <f t="shared" si="6"/>
        <v>2007/2008_MULTICAPAS</v>
      </c>
    </row>
    <row r="392" spans="1:6" x14ac:dyDescent="0.3">
      <c r="A392" s="2">
        <v>45689</v>
      </c>
      <c r="B392" t="s">
        <v>282</v>
      </c>
      <c r="C392">
        <v>2040</v>
      </c>
      <c r="D392" t="s">
        <v>28</v>
      </c>
      <c r="E392">
        <v>7751.1200000000026</v>
      </c>
      <c r="F392" t="str">
        <f t="shared" si="6"/>
        <v>2040_THALES FOTOGRAFIA</v>
      </c>
    </row>
    <row r="393" spans="1:6" x14ac:dyDescent="0.3">
      <c r="A393" s="2">
        <v>45689</v>
      </c>
      <c r="B393" t="s">
        <v>282</v>
      </c>
      <c r="C393">
        <v>208</v>
      </c>
      <c r="D393" t="s">
        <v>113</v>
      </c>
      <c r="E393">
        <v>33066.210000000006</v>
      </c>
      <c r="F393" t="str">
        <f t="shared" si="6"/>
        <v>208_MARVILLE</v>
      </c>
    </row>
    <row r="394" spans="1:6" x14ac:dyDescent="0.3">
      <c r="A394" s="2">
        <v>45689</v>
      </c>
      <c r="B394" t="s">
        <v>282</v>
      </c>
      <c r="C394">
        <v>223</v>
      </c>
      <c r="D394" t="s">
        <v>29</v>
      </c>
      <c r="E394">
        <v>17206.8</v>
      </c>
      <c r="F394" t="str">
        <f t="shared" si="6"/>
        <v>223_ALPHABETO</v>
      </c>
    </row>
    <row r="395" spans="1:6" x14ac:dyDescent="0.3">
      <c r="A395" s="2">
        <v>45689</v>
      </c>
      <c r="B395" t="s">
        <v>282</v>
      </c>
      <c r="C395">
        <v>235</v>
      </c>
      <c r="D395" t="s">
        <v>31</v>
      </c>
      <c r="E395">
        <v>127443.26</v>
      </c>
      <c r="F395" t="str">
        <f t="shared" si="6"/>
        <v>235_MARISA</v>
      </c>
    </row>
    <row r="396" spans="1:6" x14ac:dyDescent="0.3">
      <c r="A396" s="2">
        <v>45689</v>
      </c>
      <c r="B396" t="s">
        <v>282</v>
      </c>
      <c r="C396">
        <v>246</v>
      </c>
      <c r="D396" t="s">
        <v>32</v>
      </c>
      <c r="E396">
        <v>71908.420000000013</v>
      </c>
      <c r="F396" t="str">
        <f t="shared" si="6"/>
        <v>246_AMERICANAS</v>
      </c>
    </row>
    <row r="397" spans="1:6" x14ac:dyDescent="0.3">
      <c r="A397" s="2">
        <v>45689</v>
      </c>
      <c r="B397" t="s">
        <v>282</v>
      </c>
      <c r="C397">
        <v>260</v>
      </c>
      <c r="D397" t="s">
        <v>34</v>
      </c>
      <c r="E397">
        <v>55735.09</v>
      </c>
      <c r="F397" t="str">
        <f t="shared" si="6"/>
        <v>260_NEO JÓIAS</v>
      </c>
    </row>
    <row r="398" spans="1:6" x14ac:dyDescent="0.3">
      <c r="A398" s="2">
        <v>45689</v>
      </c>
      <c r="B398" t="s">
        <v>282</v>
      </c>
      <c r="C398">
        <v>262</v>
      </c>
      <c r="D398" t="s">
        <v>35</v>
      </c>
      <c r="E398">
        <v>50304.139999999992</v>
      </c>
      <c r="F398" t="str">
        <f t="shared" si="6"/>
        <v>262_LOJA DO GALO</v>
      </c>
    </row>
    <row r="399" spans="1:6" x14ac:dyDescent="0.3">
      <c r="A399" s="2">
        <v>45689</v>
      </c>
      <c r="B399" t="s">
        <v>282</v>
      </c>
      <c r="C399">
        <v>271</v>
      </c>
      <c r="D399" t="s">
        <v>138</v>
      </c>
      <c r="E399">
        <v>31708.98</v>
      </c>
      <c r="F399" t="str">
        <f t="shared" si="6"/>
        <v>271_ALFAIATARIA</v>
      </c>
    </row>
    <row r="400" spans="1:6" x14ac:dyDescent="0.3">
      <c r="A400" s="2">
        <v>45689</v>
      </c>
      <c r="B400" t="s">
        <v>282</v>
      </c>
      <c r="C400">
        <v>277</v>
      </c>
      <c r="D400" t="s">
        <v>36</v>
      </c>
      <c r="E400">
        <v>186587.8900000001</v>
      </c>
      <c r="F400" t="str">
        <f t="shared" si="6"/>
        <v>277_DUCAPS</v>
      </c>
    </row>
    <row r="401" spans="1:6" x14ac:dyDescent="0.3">
      <c r="A401" s="2">
        <v>45689</v>
      </c>
      <c r="B401" t="s">
        <v>282</v>
      </c>
      <c r="C401">
        <v>278</v>
      </c>
      <c r="D401" t="s">
        <v>37</v>
      </c>
      <c r="E401">
        <v>11686.01</v>
      </c>
      <c r="F401" t="str">
        <f t="shared" si="6"/>
        <v>278_RF STORE</v>
      </c>
    </row>
    <row r="402" spans="1:6" x14ac:dyDescent="0.3">
      <c r="A402" s="2">
        <v>45689</v>
      </c>
      <c r="B402" t="s">
        <v>282</v>
      </c>
      <c r="C402">
        <v>280</v>
      </c>
      <c r="D402" t="s">
        <v>172</v>
      </c>
      <c r="E402">
        <v>46580.179999999993</v>
      </c>
      <c r="F402" t="str">
        <f t="shared" si="6"/>
        <v>280_CALÇADOS ITAPUÃ</v>
      </c>
    </row>
    <row r="403" spans="1:6" x14ac:dyDescent="0.3">
      <c r="A403" s="2">
        <v>45689</v>
      </c>
      <c r="B403" t="s">
        <v>282</v>
      </c>
      <c r="C403" t="s">
        <v>38</v>
      </c>
      <c r="D403" t="s">
        <v>39</v>
      </c>
      <c r="E403">
        <v>39100.43</v>
      </c>
      <c r="F403" t="str">
        <f t="shared" si="6"/>
        <v>315*_HAKUNA BATATA</v>
      </c>
    </row>
    <row r="404" spans="1:6" x14ac:dyDescent="0.3">
      <c r="A404" s="2">
        <v>45689</v>
      </c>
      <c r="B404" t="s">
        <v>282</v>
      </c>
      <c r="C404">
        <v>321</v>
      </c>
      <c r="D404" t="s">
        <v>40</v>
      </c>
      <c r="E404">
        <v>28333.72</v>
      </c>
      <c r="F404" t="str">
        <f t="shared" si="6"/>
        <v>321_APERTE PLAY</v>
      </c>
    </row>
    <row r="405" spans="1:6" x14ac:dyDescent="0.3">
      <c r="A405" s="2">
        <v>45689</v>
      </c>
      <c r="B405" t="s">
        <v>282</v>
      </c>
      <c r="C405">
        <v>329</v>
      </c>
      <c r="D405" t="s">
        <v>42</v>
      </c>
      <c r="E405">
        <v>27783.13</v>
      </c>
      <c r="F405" t="str">
        <f t="shared" si="6"/>
        <v>329_HOT GRILL</v>
      </c>
    </row>
    <row r="406" spans="1:6" x14ac:dyDescent="0.3">
      <c r="A406" s="2">
        <v>45689</v>
      </c>
      <c r="B406" t="s">
        <v>282</v>
      </c>
      <c r="C406">
        <v>332</v>
      </c>
      <c r="D406" t="s">
        <v>43</v>
      </c>
      <c r="E406">
        <v>123092.06</v>
      </c>
      <c r="F406" t="str">
        <f t="shared" si="6"/>
        <v>332_SPOLETO</v>
      </c>
    </row>
    <row r="407" spans="1:6" x14ac:dyDescent="0.3">
      <c r="A407" s="2">
        <v>45689</v>
      </c>
      <c r="B407" t="s">
        <v>282</v>
      </c>
      <c r="C407" t="s">
        <v>156</v>
      </c>
      <c r="D407" t="s">
        <v>157</v>
      </c>
      <c r="E407">
        <v>20964.900000000001</v>
      </c>
      <c r="F407" t="str">
        <f t="shared" si="6"/>
        <v>4002._ALP MALHAS</v>
      </c>
    </row>
    <row r="408" spans="1:6" x14ac:dyDescent="0.3">
      <c r="A408" s="2">
        <v>45689</v>
      </c>
      <c r="B408" t="s">
        <v>282</v>
      </c>
      <c r="C408">
        <v>417</v>
      </c>
      <c r="D408" t="s">
        <v>45</v>
      </c>
      <c r="E408">
        <v>242689.3300000001</v>
      </c>
      <c r="F408" t="str">
        <f t="shared" si="6"/>
        <v>417_BELEZA NATURAL</v>
      </c>
    </row>
    <row r="409" spans="1:6" x14ac:dyDescent="0.3">
      <c r="A409" s="2">
        <v>45689</v>
      </c>
      <c r="B409" t="s">
        <v>282</v>
      </c>
      <c r="C409">
        <v>418</v>
      </c>
      <c r="D409" t="s">
        <v>46</v>
      </c>
      <c r="E409">
        <v>726133.15999999922</v>
      </c>
      <c r="F409" t="str">
        <f t="shared" si="6"/>
        <v>418_TOQUE NATURAL</v>
      </c>
    </row>
    <row r="410" spans="1:6" x14ac:dyDescent="0.3">
      <c r="A410" s="2">
        <v>45689</v>
      </c>
      <c r="B410" t="s">
        <v>282</v>
      </c>
      <c r="C410" t="s">
        <v>107</v>
      </c>
      <c r="D410" t="s">
        <v>108</v>
      </c>
      <c r="E410">
        <v>4000</v>
      </c>
      <c r="F410" t="str">
        <f t="shared" si="6"/>
        <v>MIN10_MARVILLE - MÍDIA</v>
      </c>
    </row>
    <row r="411" spans="1:6" x14ac:dyDescent="0.3">
      <c r="A411" s="2">
        <v>45689</v>
      </c>
      <c r="B411" t="s">
        <v>282</v>
      </c>
      <c r="C411" t="s">
        <v>173</v>
      </c>
      <c r="D411" t="s">
        <v>174</v>
      </c>
      <c r="E411">
        <v>4000</v>
      </c>
      <c r="F411" t="str">
        <f t="shared" si="6"/>
        <v>MP01_COLÉGIO CORAÇÃO DE ESTUDANTE</v>
      </c>
    </row>
    <row r="412" spans="1:6" x14ac:dyDescent="0.3">
      <c r="A412" s="2">
        <v>45689</v>
      </c>
      <c r="B412" t="s">
        <v>282</v>
      </c>
      <c r="C412" t="s">
        <v>59</v>
      </c>
      <c r="D412" t="s">
        <v>60</v>
      </c>
      <c r="E412">
        <v>94375.010000000009</v>
      </c>
      <c r="F412" t="str">
        <f t="shared" si="6"/>
        <v>P202_LP IMPORTS</v>
      </c>
    </row>
    <row r="413" spans="1:6" x14ac:dyDescent="0.3">
      <c r="A413" s="2">
        <v>45689</v>
      </c>
      <c r="B413" t="s">
        <v>282</v>
      </c>
      <c r="C413" t="s">
        <v>149</v>
      </c>
      <c r="D413" t="s">
        <v>150</v>
      </c>
      <c r="E413">
        <v>30249.4</v>
      </c>
      <c r="F413" t="str">
        <f t="shared" si="6"/>
        <v>Q102_BURGER KING</v>
      </c>
    </row>
    <row r="414" spans="1:6" x14ac:dyDescent="0.3">
      <c r="A414" s="2">
        <v>45689</v>
      </c>
      <c r="B414" t="s">
        <v>282</v>
      </c>
      <c r="C414" t="s">
        <v>63</v>
      </c>
      <c r="D414" t="s">
        <v>64</v>
      </c>
      <c r="E414">
        <v>69156.92</v>
      </c>
      <c r="F414" t="str">
        <f t="shared" si="6"/>
        <v>Q103/107_REI DAS CAPAS</v>
      </c>
    </row>
    <row r="415" spans="1:6" x14ac:dyDescent="0.3">
      <c r="A415" s="2">
        <v>45689</v>
      </c>
      <c r="B415" t="s">
        <v>282</v>
      </c>
      <c r="C415" t="s">
        <v>67</v>
      </c>
      <c r="D415" t="s">
        <v>68</v>
      </c>
      <c r="E415">
        <v>4338.5600000000004</v>
      </c>
      <c r="F415" t="str">
        <f t="shared" si="6"/>
        <v>Q113_ESTAÇÃO HOT DOG</v>
      </c>
    </row>
    <row r="416" spans="1:6" x14ac:dyDescent="0.3">
      <c r="A416" s="2">
        <v>45689</v>
      </c>
      <c r="B416" t="s">
        <v>282</v>
      </c>
      <c r="C416" t="s">
        <v>70</v>
      </c>
      <c r="D416" t="s">
        <v>71</v>
      </c>
      <c r="E416">
        <v>73330.780000000013</v>
      </c>
      <c r="F416" t="str">
        <f t="shared" si="6"/>
        <v>Q128_M &amp; CREPES</v>
      </c>
    </row>
    <row r="417" spans="1:6" x14ac:dyDescent="0.3">
      <c r="A417" s="2">
        <v>45689</v>
      </c>
      <c r="B417" t="s">
        <v>282</v>
      </c>
      <c r="C417" t="s">
        <v>175</v>
      </c>
      <c r="D417" t="s">
        <v>176</v>
      </c>
      <c r="E417">
        <v>1200</v>
      </c>
      <c r="F417" t="str">
        <f t="shared" si="6"/>
        <v>Q313_ALGODÃO ZÃO</v>
      </c>
    </row>
    <row r="418" spans="1:6" x14ac:dyDescent="0.3">
      <c r="A418" s="2">
        <v>45689</v>
      </c>
      <c r="B418" t="s">
        <v>282</v>
      </c>
      <c r="C418" t="s">
        <v>151</v>
      </c>
      <c r="D418" t="s">
        <v>150</v>
      </c>
      <c r="E418">
        <v>11427.56</v>
      </c>
      <c r="F418" t="str">
        <f t="shared" si="6"/>
        <v>Q314_BURGER KING</v>
      </c>
    </row>
    <row r="419" spans="1:6" x14ac:dyDescent="0.3">
      <c r="A419" s="2">
        <v>45689</v>
      </c>
      <c r="B419" t="s">
        <v>282</v>
      </c>
      <c r="C419" t="s">
        <v>168</v>
      </c>
      <c r="D419" t="s">
        <v>169</v>
      </c>
      <c r="E419">
        <v>1522.7</v>
      </c>
      <c r="F419" t="str">
        <f t="shared" si="6"/>
        <v>Q519_CHINEMALHAS</v>
      </c>
    </row>
    <row r="420" spans="1:6" x14ac:dyDescent="0.3">
      <c r="A420" s="2">
        <v>45689</v>
      </c>
      <c r="B420" t="s">
        <v>283</v>
      </c>
      <c r="C420">
        <v>103</v>
      </c>
      <c r="D420" t="s">
        <v>74</v>
      </c>
      <c r="E420">
        <v>8640.23</v>
      </c>
      <c r="F420" t="str">
        <f t="shared" si="6"/>
        <v>103_MERCADO DO CARRO</v>
      </c>
    </row>
    <row r="421" spans="1:6" x14ac:dyDescent="0.3">
      <c r="A421" s="2">
        <v>45689</v>
      </c>
      <c r="B421" t="s">
        <v>283</v>
      </c>
      <c r="C421" t="s">
        <v>75</v>
      </c>
      <c r="D421" t="s">
        <v>76</v>
      </c>
      <c r="E421">
        <v>177964.44</v>
      </c>
      <c r="F421" t="str">
        <f t="shared" si="6"/>
        <v>105/106_DOMINO'S PIZZA</v>
      </c>
    </row>
    <row r="422" spans="1:6" x14ac:dyDescent="0.3">
      <c r="A422" s="2">
        <v>45689</v>
      </c>
      <c r="B422" t="s">
        <v>283</v>
      </c>
      <c r="C422">
        <v>109</v>
      </c>
      <c r="D422" t="s">
        <v>77</v>
      </c>
      <c r="E422">
        <v>228520.58</v>
      </c>
      <c r="F422" t="str">
        <f t="shared" si="6"/>
        <v>109_AÇAFRÃO DA TERRA</v>
      </c>
    </row>
    <row r="423" spans="1:6" x14ac:dyDescent="0.3">
      <c r="A423" s="2">
        <v>45689</v>
      </c>
      <c r="B423" t="s">
        <v>283</v>
      </c>
      <c r="C423">
        <v>117</v>
      </c>
      <c r="D423" t="s">
        <v>177</v>
      </c>
      <c r="E423">
        <v>5707.5700000000006</v>
      </c>
      <c r="F423" t="str">
        <f t="shared" si="6"/>
        <v>117_MANNA CELULARES</v>
      </c>
    </row>
    <row r="424" spans="1:6" x14ac:dyDescent="0.3">
      <c r="A424" s="2">
        <v>45689</v>
      </c>
      <c r="B424" t="s">
        <v>283</v>
      </c>
      <c r="C424">
        <v>119</v>
      </c>
      <c r="D424" t="s">
        <v>78</v>
      </c>
      <c r="E424">
        <v>11518.33</v>
      </c>
      <c r="F424" t="str">
        <f t="shared" si="6"/>
        <v>119_CACAU SHOW</v>
      </c>
    </row>
    <row r="425" spans="1:6" x14ac:dyDescent="0.3">
      <c r="A425" s="2">
        <v>45689</v>
      </c>
      <c r="B425" t="s">
        <v>283</v>
      </c>
      <c r="C425">
        <v>121</v>
      </c>
      <c r="D425" t="s">
        <v>154</v>
      </c>
      <c r="E425">
        <v>839.89</v>
      </c>
      <c r="F425" t="str">
        <f t="shared" si="6"/>
        <v>121_SPACE PHONE</v>
      </c>
    </row>
    <row r="426" spans="1:6" x14ac:dyDescent="0.3">
      <c r="A426" s="2">
        <v>45689</v>
      </c>
      <c r="B426" t="s">
        <v>283</v>
      </c>
      <c r="C426">
        <v>123</v>
      </c>
      <c r="D426" t="s">
        <v>178</v>
      </c>
      <c r="E426">
        <v>5166.1399999999994</v>
      </c>
      <c r="F426" t="str">
        <f t="shared" si="6"/>
        <v>123_BRASIL OPTICAL</v>
      </c>
    </row>
    <row r="427" spans="1:6" x14ac:dyDescent="0.3">
      <c r="A427" s="2">
        <v>45689</v>
      </c>
      <c r="B427" t="s">
        <v>283</v>
      </c>
      <c r="C427">
        <v>216</v>
      </c>
      <c r="D427" t="s">
        <v>80</v>
      </c>
      <c r="E427">
        <v>40095.589999999997</v>
      </c>
      <c r="F427" t="str">
        <f t="shared" si="6"/>
        <v>216_.SHOES</v>
      </c>
    </row>
    <row r="428" spans="1:6" x14ac:dyDescent="0.3">
      <c r="A428" s="2">
        <v>45689</v>
      </c>
      <c r="B428" t="s">
        <v>283</v>
      </c>
      <c r="C428">
        <v>303</v>
      </c>
      <c r="D428" t="s">
        <v>81</v>
      </c>
      <c r="E428">
        <v>13807.160000000011</v>
      </c>
      <c r="F428" t="str">
        <f t="shared" si="6"/>
        <v>303_BABALOO ACESSÓRIOS</v>
      </c>
    </row>
    <row r="429" spans="1:6" x14ac:dyDescent="0.3">
      <c r="A429" s="2">
        <v>45689</v>
      </c>
      <c r="B429" t="s">
        <v>283</v>
      </c>
      <c r="C429" t="s">
        <v>82</v>
      </c>
      <c r="D429" t="s">
        <v>83</v>
      </c>
      <c r="E429">
        <v>3690.29</v>
      </c>
      <c r="F429" t="str">
        <f t="shared" si="6"/>
        <v>307._VIVIANE LOSCHA</v>
      </c>
    </row>
    <row r="430" spans="1:6" x14ac:dyDescent="0.3">
      <c r="A430" s="2">
        <v>45689</v>
      </c>
      <c r="B430" t="s">
        <v>283</v>
      </c>
      <c r="C430">
        <v>309</v>
      </c>
      <c r="D430" t="s">
        <v>155</v>
      </c>
      <c r="E430">
        <v>3353.81</v>
      </c>
      <c r="F430" t="str">
        <f t="shared" si="6"/>
        <v>309_D' CASA SABORES</v>
      </c>
    </row>
    <row r="431" spans="1:6" x14ac:dyDescent="0.3">
      <c r="A431" s="2">
        <v>45689</v>
      </c>
      <c r="B431" t="s">
        <v>283</v>
      </c>
      <c r="C431">
        <v>313</v>
      </c>
      <c r="D431" t="s">
        <v>84</v>
      </c>
      <c r="E431">
        <v>146833.23000000001</v>
      </c>
      <c r="F431" t="str">
        <f t="shared" si="6"/>
        <v>313_FATO A MANO FEMININO</v>
      </c>
    </row>
    <row r="432" spans="1:6" x14ac:dyDescent="0.3">
      <c r="A432" s="2">
        <v>45689</v>
      </c>
      <c r="B432" t="s">
        <v>283</v>
      </c>
      <c r="C432">
        <v>317</v>
      </c>
      <c r="D432" t="s">
        <v>85</v>
      </c>
      <c r="E432">
        <v>71862.880000000019</v>
      </c>
      <c r="F432" t="str">
        <f t="shared" si="6"/>
        <v>317_FLOW</v>
      </c>
    </row>
    <row r="433" spans="1:6" x14ac:dyDescent="0.3">
      <c r="A433" s="2">
        <v>45689</v>
      </c>
      <c r="B433" t="s">
        <v>283</v>
      </c>
      <c r="C433">
        <v>344</v>
      </c>
      <c r="D433" t="s">
        <v>86</v>
      </c>
      <c r="E433">
        <v>23161.799999999988</v>
      </c>
      <c r="F433" t="str">
        <f t="shared" si="6"/>
        <v>344_BY BLITZ</v>
      </c>
    </row>
    <row r="434" spans="1:6" x14ac:dyDescent="0.3">
      <c r="A434" s="2">
        <v>45689</v>
      </c>
      <c r="B434" t="s">
        <v>283</v>
      </c>
      <c r="C434" t="s">
        <v>65</v>
      </c>
      <c r="D434" t="s">
        <v>170</v>
      </c>
      <c r="E434">
        <v>6908.07</v>
      </c>
      <c r="F434" t="str">
        <f t="shared" si="6"/>
        <v>Q109_BETO CHURROS</v>
      </c>
    </row>
    <row r="435" spans="1:6" x14ac:dyDescent="0.3">
      <c r="A435" s="2">
        <v>45689</v>
      </c>
      <c r="B435" t="s">
        <v>283</v>
      </c>
      <c r="C435" t="s">
        <v>87</v>
      </c>
      <c r="D435" t="s">
        <v>88</v>
      </c>
      <c r="E435">
        <v>79641.009999999966</v>
      </c>
      <c r="F435" t="str">
        <f t="shared" si="6"/>
        <v>Q111_CIA DA EMPADA</v>
      </c>
    </row>
    <row r="436" spans="1:6" x14ac:dyDescent="0.3">
      <c r="A436" s="2">
        <v>45689</v>
      </c>
      <c r="B436" t="s">
        <v>283</v>
      </c>
      <c r="C436" t="s">
        <v>89</v>
      </c>
      <c r="D436" t="s">
        <v>90</v>
      </c>
      <c r="E436">
        <v>39331.149999999987</v>
      </c>
      <c r="F436" t="str">
        <f t="shared" si="6"/>
        <v>Q115A_JAH DO AÇAÍ</v>
      </c>
    </row>
    <row r="437" spans="1:6" x14ac:dyDescent="0.3">
      <c r="A437" s="2">
        <v>45689</v>
      </c>
      <c r="B437" t="s">
        <v>283</v>
      </c>
      <c r="C437" t="s">
        <v>91</v>
      </c>
      <c r="D437" t="s">
        <v>92</v>
      </c>
      <c r="E437">
        <v>22474.59</v>
      </c>
      <c r="F437" t="str">
        <f t="shared" si="6"/>
        <v>Q135_PELE DE BONECA MAKE UP</v>
      </c>
    </row>
    <row r="438" spans="1:6" x14ac:dyDescent="0.3">
      <c r="A438" s="2">
        <v>45689</v>
      </c>
      <c r="B438" t="s">
        <v>283</v>
      </c>
      <c r="C438" t="s">
        <v>93</v>
      </c>
      <c r="D438" t="s">
        <v>94</v>
      </c>
      <c r="E438">
        <v>140387.4</v>
      </c>
      <c r="F438" t="str">
        <f t="shared" si="6"/>
        <v>S1 E S2_PRATIQUE FITNESS</v>
      </c>
    </row>
    <row r="439" spans="1:6" x14ac:dyDescent="0.3">
      <c r="A439" s="2">
        <v>45689</v>
      </c>
      <c r="B439" t="s">
        <v>283</v>
      </c>
      <c r="C439" t="s">
        <v>95</v>
      </c>
      <c r="D439" t="s">
        <v>32</v>
      </c>
      <c r="E439">
        <v>42502.06</v>
      </c>
      <c r="F439" t="str">
        <f t="shared" si="6"/>
        <v>S200_AMERICANAS</v>
      </c>
    </row>
    <row r="440" spans="1:6" x14ac:dyDescent="0.3">
      <c r="A440" s="2">
        <v>45689</v>
      </c>
      <c r="B440" t="s">
        <v>283</v>
      </c>
      <c r="C440" t="s">
        <v>100</v>
      </c>
      <c r="D440" t="s">
        <v>101</v>
      </c>
      <c r="E440">
        <v>2437.0500000000011</v>
      </c>
      <c r="F440" t="str">
        <f t="shared" si="6"/>
        <v>S220._BARATO E FÁCIL</v>
      </c>
    </row>
    <row r="441" spans="1:6" x14ac:dyDescent="0.3">
      <c r="A441" s="2">
        <v>45689</v>
      </c>
      <c r="B441" t="s">
        <v>283</v>
      </c>
      <c r="C441" t="s">
        <v>123</v>
      </c>
      <c r="D441" t="s">
        <v>124</v>
      </c>
      <c r="E441">
        <v>5211.8700000000008</v>
      </c>
      <c r="F441" t="str">
        <f t="shared" si="6"/>
        <v>S238_HIGIENIZAÇÃO GETSEMANI</v>
      </c>
    </row>
    <row r="442" spans="1:6" x14ac:dyDescent="0.3">
      <c r="A442" s="2">
        <v>45778</v>
      </c>
      <c r="B442" t="s">
        <v>282</v>
      </c>
      <c r="C442">
        <v>106</v>
      </c>
      <c r="D442" t="s">
        <v>15</v>
      </c>
      <c r="E442">
        <v>4372.13</v>
      </c>
      <c r="F442" t="str">
        <f t="shared" si="6"/>
        <v>106_TUDO DELAS MAKEUP</v>
      </c>
    </row>
    <row r="443" spans="1:6" x14ac:dyDescent="0.3">
      <c r="A443" s="2">
        <v>45778</v>
      </c>
      <c r="B443" t="s">
        <v>282</v>
      </c>
      <c r="C443">
        <v>115</v>
      </c>
      <c r="D443" t="s">
        <v>171</v>
      </c>
      <c r="E443">
        <v>8266.09</v>
      </c>
      <c r="F443" t="str">
        <f t="shared" si="6"/>
        <v>115_CACAU FESTAS</v>
      </c>
    </row>
    <row r="444" spans="1:6" x14ac:dyDescent="0.3">
      <c r="A444" s="2">
        <v>45778</v>
      </c>
      <c r="B444" t="s">
        <v>282</v>
      </c>
      <c r="C444">
        <v>125</v>
      </c>
      <c r="D444" t="s">
        <v>20</v>
      </c>
      <c r="E444">
        <v>14129.67</v>
      </c>
      <c r="F444" t="str">
        <f t="shared" si="6"/>
        <v>125_INSTITUTO GOURMET</v>
      </c>
    </row>
    <row r="445" spans="1:6" x14ac:dyDescent="0.3">
      <c r="A445" s="2">
        <v>45778</v>
      </c>
      <c r="B445" t="s">
        <v>282</v>
      </c>
      <c r="C445">
        <v>223</v>
      </c>
      <c r="D445" t="s">
        <v>29</v>
      </c>
      <c r="E445">
        <v>7746</v>
      </c>
      <c r="F445" t="str">
        <f t="shared" si="6"/>
        <v>223_ALPHABETO</v>
      </c>
    </row>
    <row r="446" spans="1:6" x14ac:dyDescent="0.3">
      <c r="A446" s="2">
        <v>45778</v>
      </c>
      <c r="B446" t="s">
        <v>282</v>
      </c>
      <c r="C446">
        <v>235</v>
      </c>
      <c r="D446" t="s">
        <v>31</v>
      </c>
      <c r="E446">
        <v>11997</v>
      </c>
      <c r="F446" t="str">
        <f t="shared" si="6"/>
        <v>235_MARISA</v>
      </c>
    </row>
    <row r="447" spans="1:6" x14ac:dyDescent="0.3">
      <c r="A447" s="2">
        <v>45778</v>
      </c>
      <c r="B447" t="s">
        <v>282</v>
      </c>
      <c r="C447">
        <v>271</v>
      </c>
      <c r="D447" t="s">
        <v>138</v>
      </c>
      <c r="E447">
        <v>9616.5400000000009</v>
      </c>
      <c r="F447" t="str">
        <f t="shared" si="6"/>
        <v>271_ALFAIATARIA</v>
      </c>
    </row>
    <row r="448" spans="1:6" x14ac:dyDescent="0.3">
      <c r="A448" s="2">
        <v>45778</v>
      </c>
      <c r="B448" t="s">
        <v>282</v>
      </c>
      <c r="C448">
        <v>277</v>
      </c>
      <c r="D448" t="s">
        <v>36</v>
      </c>
      <c r="E448">
        <v>15898.92</v>
      </c>
      <c r="F448" t="str">
        <f t="shared" si="6"/>
        <v>277_DUCAPS</v>
      </c>
    </row>
    <row r="449" spans="1:6" x14ac:dyDescent="0.3">
      <c r="A449" s="2">
        <v>45778</v>
      </c>
      <c r="B449" t="s">
        <v>282</v>
      </c>
      <c r="C449">
        <v>278</v>
      </c>
      <c r="D449" t="s">
        <v>37</v>
      </c>
      <c r="E449">
        <v>14456.72</v>
      </c>
      <c r="F449" t="str">
        <f t="shared" si="6"/>
        <v>278_RF STORE</v>
      </c>
    </row>
    <row r="450" spans="1:6" x14ac:dyDescent="0.3">
      <c r="A450" s="2">
        <v>45778</v>
      </c>
      <c r="B450" t="s">
        <v>282</v>
      </c>
      <c r="C450">
        <v>280</v>
      </c>
      <c r="D450" t="s">
        <v>172</v>
      </c>
      <c r="E450">
        <v>88283.58</v>
      </c>
      <c r="F450" t="str">
        <f t="shared" si="6"/>
        <v>280_CALÇADOS ITAPUÃ</v>
      </c>
    </row>
    <row r="451" spans="1:6" x14ac:dyDescent="0.3">
      <c r="A451" s="2">
        <v>45778</v>
      </c>
      <c r="B451" t="s">
        <v>282</v>
      </c>
      <c r="C451">
        <v>294</v>
      </c>
      <c r="D451" t="s">
        <v>179</v>
      </c>
      <c r="E451">
        <v>2742.29</v>
      </c>
      <c r="F451" t="str">
        <f t="shared" ref="F451:F514" si="7">C451&amp;"_"&amp;D451</f>
        <v>294_.M</v>
      </c>
    </row>
    <row r="452" spans="1:6" x14ac:dyDescent="0.3">
      <c r="A452" s="2">
        <v>45778</v>
      </c>
      <c r="B452" t="s">
        <v>282</v>
      </c>
      <c r="C452">
        <v>307</v>
      </c>
      <c r="D452" t="s">
        <v>22</v>
      </c>
      <c r="E452">
        <v>12249.71</v>
      </c>
      <c r="F452" t="str">
        <f t="shared" si="7"/>
        <v>307_POLO WEAR</v>
      </c>
    </row>
    <row r="453" spans="1:6" x14ac:dyDescent="0.3">
      <c r="A453" s="2">
        <v>45778</v>
      </c>
      <c r="B453" t="s">
        <v>282</v>
      </c>
      <c r="C453">
        <v>315</v>
      </c>
      <c r="D453" t="s">
        <v>39</v>
      </c>
      <c r="E453">
        <v>11438.65</v>
      </c>
      <c r="F453" t="str">
        <f t="shared" si="7"/>
        <v>315_HAKUNA BATATA</v>
      </c>
    </row>
    <row r="454" spans="1:6" x14ac:dyDescent="0.3">
      <c r="A454" s="2">
        <v>45778</v>
      </c>
      <c r="B454" t="s">
        <v>282</v>
      </c>
      <c r="C454">
        <v>321</v>
      </c>
      <c r="D454" t="s">
        <v>40</v>
      </c>
      <c r="E454">
        <v>30897.51</v>
      </c>
      <c r="F454" t="str">
        <f t="shared" si="7"/>
        <v>321_APERTE PLAY</v>
      </c>
    </row>
    <row r="455" spans="1:6" x14ac:dyDescent="0.3">
      <c r="A455" s="2">
        <v>45778</v>
      </c>
      <c r="B455" t="s">
        <v>282</v>
      </c>
      <c r="C455">
        <v>329</v>
      </c>
      <c r="D455" t="s">
        <v>42</v>
      </c>
      <c r="E455">
        <v>6593.4</v>
      </c>
      <c r="F455" t="str">
        <f t="shared" si="7"/>
        <v>329_HOT GRILL</v>
      </c>
    </row>
    <row r="456" spans="1:6" x14ac:dyDescent="0.3">
      <c r="A456" s="2">
        <v>45778</v>
      </c>
      <c r="B456" t="s">
        <v>282</v>
      </c>
      <c r="C456">
        <v>332</v>
      </c>
      <c r="D456" t="s">
        <v>43</v>
      </c>
      <c r="E456">
        <v>9000</v>
      </c>
      <c r="F456" t="str">
        <f t="shared" si="7"/>
        <v>332_SPOLETO</v>
      </c>
    </row>
    <row r="457" spans="1:6" x14ac:dyDescent="0.3">
      <c r="A457" s="2">
        <v>45778</v>
      </c>
      <c r="B457" t="s">
        <v>282</v>
      </c>
      <c r="C457">
        <v>417</v>
      </c>
      <c r="D457" t="s">
        <v>45</v>
      </c>
      <c r="E457">
        <v>576.5</v>
      </c>
      <c r="F457" t="str">
        <f t="shared" si="7"/>
        <v>417_BELEZA NATURAL</v>
      </c>
    </row>
    <row r="458" spans="1:6" x14ac:dyDescent="0.3">
      <c r="A458" s="2">
        <v>45778</v>
      </c>
      <c r="B458" t="s">
        <v>282</v>
      </c>
      <c r="C458">
        <v>1027</v>
      </c>
      <c r="D458" t="s">
        <v>9</v>
      </c>
      <c r="E458">
        <v>30569.47</v>
      </c>
      <c r="F458" t="str">
        <f t="shared" si="7"/>
        <v>1027_SAÚDE COM VOCÊ</v>
      </c>
    </row>
    <row r="459" spans="1:6" x14ac:dyDescent="0.3">
      <c r="A459" s="2">
        <v>45778</v>
      </c>
      <c r="B459" t="s">
        <v>282</v>
      </c>
      <c r="C459">
        <v>1029</v>
      </c>
      <c r="D459" t="s">
        <v>13</v>
      </c>
      <c r="E459">
        <v>4318.7</v>
      </c>
      <c r="F459" t="str">
        <f t="shared" si="7"/>
        <v>1029_BELLAS UNHAS</v>
      </c>
    </row>
    <row r="460" spans="1:6" x14ac:dyDescent="0.3">
      <c r="A460" s="2">
        <v>45778</v>
      </c>
      <c r="B460" t="s">
        <v>282</v>
      </c>
      <c r="C460">
        <v>2007</v>
      </c>
      <c r="D460" t="s">
        <v>180</v>
      </c>
      <c r="E460">
        <v>3942.61</v>
      </c>
      <c r="F460" t="str">
        <f t="shared" si="7"/>
        <v>2007_BRUNA ALMEIDA CENTRO DE ESTÉTICA</v>
      </c>
    </row>
    <row r="461" spans="1:6" x14ac:dyDescent="0.3">
      <c r="A461" s="2">
        <v>45778</v>
      </c>
      <c r="B461" t="s">
        <v>282</v>
      </c>
      <c r="C461">
        <v>4002</v>
      </c>
      <c r="D461" t="s">
        <v>157</v>
      </c>
      <c r="E461">
        <v>13030.96</v>
      </c>
      <c r="F461" t="str">
        <f t="shared" si="7"/>
        <v>4002_ALP MALHAS</v>
      </c>
    </row>
    <row r="462" spans="1:6" x14ac:dyDescent="0.3">
      <c r="A462" s="2">
        <v>45778</v>
      </c>
      <c r="B462" t="s">
        <v>282</v>
      </c>
      <c r="C462" t="s">
        <v>181</v>
      </c>
      <c r="D462" t="s">
        <v>182</v>
      </c>
      <c r="E462">
        <v>770.51</v>
      </c>
      <c r="F462" t="str">
        <f t="shared" si="7"/>
        <v>1001C_EMPÓRIOS DOS PET'S</v>
      </c>
    </row>
    <row r="463" spans="1:6" x14ac:dyDescent="0.3">
      <c r="A463" s="2">
        <v>45778</v>
      </c>
      <c r="B463" t="s">
        <v>282</v>
      </c>
      <c r="C463">
        <v>1027</v>
      </c>
      <c r="D463" t="s">
        <v>9</v>
      </c>
      <c r="E463">
        <v>54534.76</v>
      </c>
      <c r="F463" t="str">
        <f t="shared" si="7"/>
        <v>1027_SAÚDE COM VOCÊ</v>
      </c>
    </row>
    <row r="464" spans="1:6" x14ac:dyDescent="0.3">
      <c r="A464" s="2">
        <v>45778</v>
      </c>
      <c r="B464" t="s">
        <v>282</v>
      </c>
      <c r="C464" t="s">
        <v>12</v>
      </c>
      <c r="D464" t="s">
        <v>13</v>
      </c>
      <c r="E464">
        <v>13837.24</v>
      </c>
      <c r="F464" t="str">
        <f t="shared" si="7"/>
        <v>1029._BELLAS UNHAS</v>
      </c>
    </row>
    <row r="465" spans="1:6" x14ac:dyDescent="0.3">
      <c r="A465" s="2">
        <v>45778</v>
      </c>
      <c r="B465" t="s">
        <v>282</v>
      </c>
      <c r="C465" t="s">
        <v>14</v>
      </c>
      <c r="D465" t="s">
        <v>15</v>
      </c>
      <c r="E465">
        <v>79940.820000000007</v>
      </c>
      <c r="F465" t="str">
        <f t="shared" si="7"/>
        <v>106A_TUDO DELAS MAKEUP</v>
      </c>
    </row>
    <row r="466" spans="1:6" x14ac:dyDescent="0.3">
      <c r="A466" s="2">
        <v>45778</v>
      </c>
      <c r="B466" t="s">
        <v>282</v>
      </c>
      <c r="C466">
        <v>114</v>
      </c>
      <c r="D466" t="s">
        <v>18</v>
      </c>
      <c r="E466">
        <v>51863.62</v>
      </c>
      <c r="F466" t="str">
        <f t="shared" si="7"/>
        <v>114_LANCHONETE LONDRES</v>
      </c>
    </row>
    <row r="467" spans="1:6" x14ac:dyDescent="0.3">
      <c r="A467" s="2">
        <v>45778</v>
      </c>
      <c r="B467" t="s">
        <v>282</v>
      </c>
      <c r="C467">
        <v>116</v>
      </c>
      <c r="D467" t="s">
        <v>171</v>
      </c>
      <c r="E467">
        <v>11455.99</v>
      </c>
      <c r="F467" t="str">
        <f t="shared" si="7"/>
        <v>116_CACAU FESTAS</v>
      </c>
    </row>
    <row r="468" spans="1:6" x14ac:dyDescent="0.3">
      <c r="A468" s="2">
        <v>45778</v>
      </c>
      <c r="B468" t="s">
        <v>282</v>
      </c>
      <c r="C468" t="s">
        <v>19</v>
      </c>
      <c r="D468" t="s">
        <v>20</v>
      </c>
      <c r="E468">
        <v>17547.759999999998</v>
      </c>
      <c r="F468" t="str">
        <f t="shared" si="7"/>
        <v>125-127_INSTITUTO GOURMET</v>
      </c>
    </row>
    <row r="469" spans="1:6" x14ac:dyDescent="0.3">
      <c r="A469" s="2">
        <v>45778</v>
      </c>
      <c r="B469" t="s">
        <v>282</v>
      </c>
      <c r="C469">
        <v>2004</v>
      </c>
      <c r="D469" t="s">
        <v>23</v>
      </c>
      <c r="E469">
        <v>10243.129999999999</v>
      </c>
      <c r="F469" t="str">
        <f t="shared" si="7"/>
        <v>2004_CAFÉ IMPERIAL</v>
      </c>
    </row>
    <row r="470" spans="1:6" x14ac:dyDescent="0.3">
      <c r="A470" s="2">
        <v>45778</v>
      </c>
      <c r="B470" t="s">
        <v>282</v>
      </c>
      <c r="C470">
        <v>2005</v>
      </c>
      <c r="D470" t="s">
        <v>180</v>
      </c>
      <c r="E470">
        <v>5008.8500000000004</v>
      </c>
      <c r="F470" t="str">
        <f t="shared" si="7"/>
        <v>2005_BRUNA ALMEIDA CENTRO DE ESTÉTICA</v>
      </c>
    </row>
    <row r="471" spans="1:6" x14ac:dyDescent="0.3">
      <c r="A471" s="2">
        <v>45778</v>
      </c>
      <c r="B471" t="s">
        <v>282</v>
      </c>
      <c r="C471">
        <v>2040</v>
      </c>
      <c r="D471" t="s">
        <v>28</v>
      </c>
      <c r="E471">
        <v>11633.38</v>
      </c>
      <c r="F471" t="str">
        <f t="shared" si="7"/>
        <v>2040_THALES FOTOGRAFIA</v>
      </c>
    </row>
    <row r="472" spans="1:6" x14ac:dyDescent="0.3">
      <c r="A472" s="2">
        <v>45778</v>
      </c>
      <c r="B472" t="s">
        <v>282</v>
      </c>
      <c r="C472">
        <v>208</v>
      </c>
      <c r="D472" t="s">
        <v>113</v>
      </c>
      <c r="E472">
        <v>11425.28</v>
      </c>
      <c r="F472" t="str">
        <f t="shared" si="7"/>
        <v>208_MARVILLE</v>
      </c>
    </row>
    <row r="473" spans="1:6" x14ac:dyDescent="0.3">
      <c r="A473" s="2">
        <v>45778</v>
      </c>
      <c r="B473" t="s">
        <v>282</v>
      </c>
      <c r="C473">
        <v>223</v>
      </c>
      <c r="D473" t="s">
        <v>29</v>
      </c>
      <c r="E473">
        <v>14806.8</v>
      </c>
      <c r="F473" t="str">
        <f t="shared" si="7"/>
        <v>223_ALPHABETO</v>
      </c>
    </row>
    <row r="474" spans="1:6" x14ac:dyDescent="0.3">
      <c r="A474" s="2">
        <v>45778</v>
      </c>
      <c r="B474" t="s">
        <v>282</v>
      </c>
      <c r="C474">
        <v>235</v>
      </c>
      <c r="D474" t="s">
        <v>31</v>
      </c>
      <c r="E474">
        <v>131162.5</v>
      </c>
      <c r="F474" t="str">
        <f t="shared" si="7"/>
        <v>235_MARISA</v>
      </c>
    </row>
    <row r="475" spans="1:6" x14ac:dyDescent="0.3">
      <c r="A475" s="2">
        <v>45778</v>
      </c>
      <c r="B475" t="s">
        <v>282</v>
      </c>
      <c r="C475">
        <v>246</v>
      </c>
      <c r="D475" t="s">
        <v>32</v>
      </c>
      <c r="E475">
        <v>71242.58</v>
      </c>
      <c r="F475" t="str">
        <f t="shared" si="7"/>
        <v>246_AMERICANAS</v>
      </c>
    </row>
    <row r="476" spans="1:6" x14ac:dyDescent="0.3">
      <c r="A476" s="2">
        <v>45778</v>
      </c>
      <c r="B476" t="s">
        <v>282</v>
      </c>
      <c r="C476">
        <v>260</v>
      </c>
      <c r="D476" t="s">
        <v>34</v>
      </c>
      <c r="E476">
        <v>40689.699999999997</v>
      </c>
      <c r="F476" t="str">
        <f t="shared" si="7"/>
        <v>260_NEO JÓIAS</v>
      </c>
    </row>
    <row r="477" spans="1:6" x14ac:dyDescent="0.3">
      <c r="A477" s="2">
        <v>45778</v>
      </c>
      <c r="B477" t="s">
        <v>282</v>
      </c>
      <c r="C477">
        <v>262</v>
      </c>
      <c r="D477" t="s">
        <v>35</v>
      </c>
      <c r="E477">
        <v>82635.710000000006</v>
      </c>
      <c r="F477" t="str">
        <f t="shared" si="7"/>
        <v>262_LOJA DO GALO</v>
      </c>
    </row>
    <row r="478" spans="1:6" x14ac:dyDescent="0.3">
      <c r="A478" s="2">
        <v>45778</v>
      </c>
      <c r="B478" t="s">
        <v>282</v>
      </c>
      <c r="C478">
        <v>271</v>
      </c>
      <c r="D478" t="s">
        <v>138</v>
      </c>
      <c r="E478">
        <v>37203.65</v>
      </c>
      <c r="F478" t="str">
        <f t="shared" si="7"/>
        <v>271_ALFAIATARIA</v>
      </c>
    </row>
    <row r="479" spans="1:6" x14ac:dyDescent="0.3">
      <c r="A479" s="2">
        <v>45778</v>
      </c>
      <c r="B479" t="s">
        <v>282</v>
      </c>
      <c r="C479">
        <v>277</v>
      </c>
      <c r="D479" t="s">
        <v>36</v>
      </c>
      <c r="E479">
        <v>211445.6</v>
      </c>
      <c r="F479" t="str">
        <f t="shared" si="7"/>
        <v>277_DUCAPS</v>
      </c>
    </row>
    <row r="480" spans="1:6" x14ac:dyDescent="0.3">
      <c r="A480" s="2">
        <v>45778</v>
      </c>
      <c r="B480" t="s">
        <v>282</v>
      </c>
      <c r="C480">
        <v>278</v>
      </c>
      <c r="D480" t="s">
        <v>37</v>
      </c>
      <c r="E480">
        <v>20305.2</v>
      </c>
      <c r="F480" t="str">
        <f t="shared" si="7"/>
        <v>278_RF STORE</v>
      </c>
    </row>
    <row r="481" spans="1:6" x14ac:dyDescent="0.3">
      <c r="A481" s="2">
        <v>45778</v>
      </c>
      <c r="B481" t="s">
        <v>282</v>
      </c>
      <c r="C481">
        <v>280</v>
      </c>
      <c r="D481" t="s">
        <v>172</v>
      </c>
      <c r="E481">
        <v>53283.839999999997</v>
      </c>
      <c r="F481" t="str">
        <f t="shared" si="7"/>
        <v>280_CALÇADOS ITAPUÃ</v>
      </c>
    </row>
    <row r="482" spans="1:6" x14ac:dyDescent="0.3">
      <c r="A482" s="2">
        <v>45778</v>
      </c>
      <c r="B482" t="s">
        <v>282</v>
      </c>
      <c r="C482" t="s">
        <v>82</v>
      </c>
      <c r="D482" t="s">
        <v>22</v>
      </c>
      <c r="E482">
        <v>23591.95</v>
      </c>
      <c r="F482" t="str">
        <f t="shared" si="7"/>
        <v>307._POLO WEAR</v>
      </c>
    </row>
    <row r="483" spans="1:6" x14ac:dyDescent="0.3">
      <c r="A483" s="2">
        <v>45778</v>
      </c>
      <c r="B483" t="s">
        <v>282</v>
      </c>
      <c r="C483" t="s">
        <v>38</v>
      </c>
      <c r="D483" t="s">
        <v>39</v>
      </c>
      <c r="E483">
        <v>73573.08</v>
      </c>
      <c r="F483" t="str">
        <f t="shared" si="7"/>
        <v>315*_HAKUNA BATATA</v>
      </c>
    </row>
    <row r="484" spans="1:6" x14ac:dyDescent="0.3">
      <c r="A484" s="2">
        <v>45778</v>
      </c>
      <c r="B484" t="s">
        <v>282</v>
      </c>
      <c r="C484">
        <v>321</v>
      </c>
      <c r="D484" t="s">
        <v>40</v>
      </c>
      <c r="E484">
        <v>42769.71</v>
      </c>
      <c r="F484" t="str">
        <f t="shared" si="7"/>
        <v>321_APERTE PLAY</v>
      </c>
    </row>
    <row r="485" spans="1:6" x14ac:dyDescent="0.3">
      <c r="A485" s="2">
        <v>45778</v>
      </c>
      <c r="B485" t="s">
        <v>282</v>
      </c>
      <c r="C485">
        <v>329</v>
      </c>
      <c r="D485" t="s">
        <v>42</v>
      </c>
      <c r="E485">
        <v>61578.86</v>
      </c>
      <c r="F485" t="str">
        <f t="shared" si="7"/>
        <v>329_HOT GRILL</v>
      </c>
    </row>
    <row r="486" spans="1:6" x14ac:dyDescent="0.3">
      <c r="A486" s="2">
        <v>45778</v>
      </c>
      <c r="B486" t="s">
        <v>282</v>
      </c>
      <c r="C486">
        <v>332</v>
      </c>
      <c r="D486" t="s">
        <v>43</v>
      </c>
      <c r="E486">
        <v>143092.1</v>
      </c>
      <c r="F486" t="str">
        <f t="shared" si="7"/>
        <v>332_SPOLETO</v>
      </c>
    </row>
    <row r="487" spans="1:6" x14ac:dyDescent="0.3">
      <c r="A487" s="2">
        <v>45778</v>
      </c>
      <c r="B487" t="s">
        <v>282</v>
      </c>
      <c r="C487" t="s">
        <v>156</v>
      </c>
      <c r="D487" t="s">
        <v>157</v>
      </c>
      <c r="E487">
        <v>35519.199999999997</v>
      </c>
      <c r="F487" t="str">
        <f t="shared" si="7"/>
        <v>4002._ALP MALHAS</v>
      </c>
    </row>
    <row r="488" spans="1:6" x14ac:dyDescent="0.3">
      <c r="A488" s="2">
        <v>45778</v>
      </c>
      <c r="B488" t="s">
        <v>282</v>
      </c>
      <c r="C488">
        <v>410</v>
      </c>
      <c r="D488" t="s">
        <v>44</v>
      </c>
      <c r="E488">
        <v>6043.25</v>
      </c>
      <c r="F488" t="str">
        <f t="shared" si="7"/>
        <v>410_COLÉGIO METRÓPOLE</v>
      </c>
    </row>
    <row r="489" spans="1:6" x14ac:dyDescent="0.3">
      <c r="A489" s="2">
        <v>45778</v>
      </c>
      <c r="B489" t="s">
        <v>282</v>
      </c>
      <c r="C489">
        <v>417</v>
      </c>
      <c r="D489" t="s">
        <v>45</v>
      </c>
      <c r="E489">
        <v>230897.5</v>
      </c>
      <c r="F489" t="str">
        <f t="shared" si="7"/>
        <v>417_BELEZA NATURAL</v>
      </c>
    </row>
    <row r="490" spans="1:6" x14ac:dyDescent="0.3">
      <c r="A490" s="2">
        <v>45778</v>
      </c>
      <c r="B490" t="s">
        <v>282</v>
      </c>
      <c r="C490">
        <v>418</v>
      </c>
      <c r="D490" t="s">
        <v>46</v>
      </c>
      <c r="E490">
        <v>566541.80000000005</v>
      </c>
      <c r="F490" t="str">
        <f t="shared" si="7"/>
        <v>418_TOQUE NATURAL</v>
      </c>
    </row>
    <row r="491" spans="1:6" x14ac:dyDescent="0.3">
      <c r="A491" s="2">
        <v>45778</v>
      </c>
      <c r="B491" t="s">
        <v>282</v>
      </c>
      <c r="C491" t="s">
        <v>183</v>
      </c>
      <c r="D491" t="s">
        <v>184</v>
      </c>
      <c r="E491">
        <v>158.28</v>
      </c>
      <c r="F491" t="str">
        <f t="shared" si="7"/>
        <v>DG01_DG TELEMAR</v>
      </c>
    </row>
    <row r="492" spans="1:6" x14ac:dyDescent="0.3">
      <c r="A492" s="2">
        <v>45778</v>
      </c>
      <c r="B492" t="s">
        <v>282</v>
      </c>
      <c r="C492" t="s">
        <v>107</v>
      </c>
      <c r="D492" t="s">
        <v>108</v>
      </c>
      <c r="E492">
        <v>4000</v>
      </c>
      <c r="F492" t="str">
        <f t="shared" si="7"/>
        <v>MIN10_MARVILLE - MÍDIA</v>
      </c>
    </row>
    <row r="493" spans="1:6" x14ac:dyDescent="0.3">
      <c r="A493" s="2">
        <v>45778</v>
      </c>
      <c r="B493" t="s">
        <v>282</v>
      </c>
      <c r="C493" t="s">
        <v>185</v>
      </c>
      <c r="D493" t="s">
        <v>186</v>
      </c>
      <c r="E493">
        <v>1000</v>
      </c>
      <c r="F493" t="str">
        <f t="shared" si="7"/>
        <v>MLED10_RIVER IMOBILIARIA</v>
      </c>
    </row>
    <row r="494" spans="1:6" x14ac:dyDescent="0.3">
      <c r="A494" s="2">
        <v>45778</v>
      </c>
      <c r="B494" t="s">
        <v>282</v>
      </c>
      <c r="C494" t="s">
        <v>147</v>
      </c>
      <c r="D494" t="s">
        <v>148</v>
      </c>
      <c r="E494">
        <v>127000</v>
      </c>
      <c r="F494" t="str">
        <f t="shared" si="7"/>
        <v>MPE001_SAFARI EVENTOS</v>
      </c>
    </row>
    <row r="495" spans="1:6" x14ac:dyDescent="0.3">
      <c r="A495" s="2">
        <v>45778</v>
      </c>
      <c r="B495" t="s">
        <v>282</v>
      </c>
      <c r="C495" t="s">
        <v>187</v>
      </c>
      <c r="D495" t="s">
        <v>188</v>
      </c>
      <c r="E495">
        <v>27000</v>
      </c>
      <c r="F495" t="str">
        <f t="shared" si="7"/>
        <v>MPE004_FEIRA DE LIVROS LETRINHA</v>
      </c>
    </row>
    <row r="496" spans="1:6" x14ac:dyDescent="0.3">
      <c r="A496" s="2">
        <v>45778</v>
      </c>
      <c r="B496" t="s">
        <v>282</v>
      </c>
      <c r="C496" t="s">
        <v>149</v>
      </c>
      <c r="D496" t="s">
        <v>150</v>
      </c>
      <c r="E496">
        <v>45374.1</v>
      </c>
      <c r="F496" t="str">
        <f t="shared" si="7"/>
        <v>Q102_BURGER KING</v>
      </c>
    </row>
    <row r="497" spans="1:6" x14ac:dyDescent="0.3">
      <c r="A497" s="2">
        <v>45778</v>
      </c>
      <c r="B497" t="s">
        <v>282</v>
      </c>
      <c r="C497" t="s">
        <v>67</v>
      </c>
      <c r="D497" t="s">
        <v>68</v>
      </c>
      <c r="E497">
        <v>5455.87</v>
      </c>
      <c r="F497" t="str">
        <f t="shared" si="7"/>
        <v>Q113_ESTAÇÃO HOT DOG</v>
      </c>
    </row>
    <row r="498" spans="1:6" x14ac:dyDescent="0.3">
      <c r="A498" s="2">
        <v>45778</v>
      </c>
      <c r="B498" t="s">
        <v>282</v>
      </c>
      <c r="C498" t="s">
        <v>189</v>
      </c>
      <c r="D498" t="s">
        <v>190</v>
      </c>
      <c r="E498">
        <v>7700</v>
      </c>
      <c r="F498" t="str">
        <f t="shared" si="7"/>
        <v>Q217_VIP ELETRÔNICOS</v>
      </c>
    </row>
    <row r="499" spans="1:6" x14ac:dyDescent="0.3">
      <c r="A499" s="2">
        <v>45778</v>
      </c>
      <c r="B499" t="s">
        <v>282</v>
      </c>
      <c r="C499" t="s">
        <v>151</v>
      </c>
      <c r="D499" t="s">
        <v>150</v>
      </c>
      <c r="E499">
        <v>11427.56</v>
      </c>
      <c r="F499" t="str">
        <f t="shared" si="7"/>
        <v>Q314_BURGER KING</v>
      </c>
    </row>
    <row r="500" spans="1:6" x14ac:dyDescent="0.3">
      <c r="A500" s="2">
        <v>45778</v>
      </c>
      <c r="B500" t="s">
        <v>282</v>
      </c>
      <c r="C500" t="s">
        <v>135</v>
      </c>
      <c r="D500" t="s">
        <v>136</v>
      </c>
      <c r="E500">
        <v>8629.9599999999991</v>
      </c>
      <c r="F500" t="str">
        <f t="shared" si="7"/>
        <v>Q505_LISIÊ CHOCOLATERIA</v>
      </c>
    </row>
    <row r="501" spans="1:6" x14ac:dyDescent="0.3">
      <c r="A501" s="2">
        <v>45778</v>
      </c>
      <c r="B501" t="s">
        <v>282</v>
      </c>
      <c r="C501" t="s">
        <v>191</v>
      </c>
      <c r="D501" t="s">
        <v>192</v>
      </c>
      <c r="E501">
        <v>5142.78</v>
      </c>
      <c r="F501" t="str">
        <f t="shared" si="7"/>
        <v>Q508_VIA CAFÉ</v>
      </c>
    </row>
    <row r="502" spans="1:6" x14ac:dyDescent="0.3">
      <c r="A502" s="2">
        <v>45778</v>
      </c>
      <c r="B502" t="s">
        <v>282</v>
      </c>
      <c r="C502" t="s">
        <v>168</v>
      </c>
      <c r="D502" t="s">
        <v>169</v>
      </c>
      <c r="E502">
        <v>1522.7</v>
      </c>
      <c r="F502" t="str">
        <f t="shared" si="7"/>
        <v>Q519_CHINEMALHAS</v>
      </c>
    </row>
    <row r="503" spans="1:6" x14ac:dyDescent="0.3">
      <c r="A503" s="2">
        <v>45778</v>
      </c>
      <c r="B503" t="s">
        <v>282</v>
      </c>
      <c r="C503" t="s">
        <v>193</v>
      </c>
      <c r="D503" t="s">
        <v>194</v>
      </c>
      <c r="E503">
        <v>416.66</v>
      </c>
      <c r="F503" t="str">
        <f t="shared" si="7"/>
        <v>Q520_ALLAPEL</v>
      </c>
    </row>
    <row r="504" spans="1:6" x14ac:dyDescent="0.3">
      <c r="A504" s="2">
        <v>45778</v>
      </c>
      <c r="B504" t="s">
        <v>282</v>
      </c>
      <c r="C504" t="s">
        <v>195</v>
      </c>
      <c r="D504" t="s">
        <v>196</v>
      </c>
      <c r="E504">
        <v>2993.02</v>
      </c>
      <c r="F504" t="str">
        <f t="shared" si="7"/>
        <v>Q54_TRICAMPEÃO LOTERIAS</v>
      </c>
    </row>
    <row r="505" spans="1:6" x14ac:dyDescent="0.3">
      <c r="A505" s="2">
        <v>45778</v>
      </c>
      <c r="B505" t="s">
        <v>282</v>
      </c>
      <c r="C505" t="s">
        <v>152</v>
      </c>
      <c r="D505" t="s">
        <v>153</v>
      </c>
      <c r="E505">
        <v>2084.2199999999998</v>
      </c>
      <c r="F505" t="str">
        <f t="shared" si="7"/>
        <v>QPE04_CARACOL ENTRETENIMENTOS</v>
      </c>
    </row>
    <row r="506" spans="1:6" x14ac:dyDescent="0.3">
      <c r="A506" s="2">
        <v>45778</v>
      </c>
      <c r="B506" t="s">
        <v>283</v>
      </c>
      <c r="C506">
        <v>102</v>
      </c>
      <c r="D506" t="s">
        <v>74</v>
      </c>
      <c r="E506">
        <v>36826.17</v>
      </c>
      <c r="F506" t="str">
        <f t="shared" si="7"/>
        <v>102_MERCADO DO CARRO</v>
      </c>
    </row>
    <row r="507" spans="1:6" x14ac:dyDescent="0.3">
      <c r="A507" s="2">
        <v>45778</v>
      </c>
      <c r="B507" t="s">
        <v>283</v>
      </c>
      <c r="C507">
        <v>107</v>
      </c>
      <c r="D507" t="s">
        <v>197</v>
      </c>
      <c r="E507">
        <v>28722.23</v>
      </c>
      <c r="F507" t="str">
        <f t="shared" si="7"/>
        <v>107_CHIQUINHO SORVETES</v>
      </c>
    </row>
    <row r="508" spans="1:6" x14ac:dyDescent="0.3">
      <c r="A508" s="2">
        <v>45778</v>
      </c>
      <c r="B508" t="s">
        <v>283</v>
      </c>
      <c r="C508">
        <v>110</v>
      </c>
      <c r="D508" t="s">
        <v>198</v>
      </c>
      <c r="E508">
        <v>198306.9</v>
      </c>
      <c r="F508" t="str">
        <f t="shared" si="7"/>
        <v>110_DOMINOS PIZZA</v>
      </c>
    </row>
    <row r="509" spans="1:6" x14ac:dyDescent="0.3">
      <c r="A509" s="2">
        <v>45778</v>
      </c>
      <c r="B509" t="s">
        <v>283</v>
      </c>
      <c r="C509">
        <v>112</v>
      </c>
      <c r="D509" t="s">
        <v>77</v>
      </c>
      <c r="E509">
        <v>264302.59999999998</v>
      </c>
      <c r="F509" t="str">
        <f t="shared" si="7"/>
        <v>112_AÇAFRÃO DA TERRA</v>
      </c>
    </row>
    <row r="510" spans="1:6" x14ac:dyDescent="0.3">
      <c r="A510" s="2">
        <v>45778</v>
      </c>
      <c r="B510" t="s">
        <v>283</v>
      </c>
      <c r="C510">
        <v>119</v>
      </c>
      <c r="D510" t="s">
        <v>78</v>
      </c>
      <c r="E510">
        <v>35873.31</v>
      </c>
      <c r="F510" t="str">
        <f t="shared" si="7"/>
        <v>119_CACAU SHOW</v>
      </c>
    </row>
    <row r="511" spans="1:6" x14ac:dyDescent="0.3">
      <c r="A511" s="2">
        <v>45778</v>
      </c>
      <c r="B511" t="s">
        <v>283</v>
      </c>
      <c r="C511">
        <v>123</v>
      </c>
      <c r="D511" t="s">
        <v>178</v>
      </c>
      <c r="E511">
        <v>1291.55</v>
      </c>
      <c r="F511" t="str">
        <f t="shared" si="7"/>
        <v>123_BRASIL OPTICAL</v>
      </c>
    </row>
    <row r="512" spans="1:6" x14ac:dyDescent="0.3">
      <c r="A512" s="2">
        <v>45778</v>
      </c>
      <c r="B512" t="s">
        <v>283</v>
      </c>
      <c r="C512">
        <v>200</v>
      </c>
      <c r="D512" t="s">
        <v>32</v>
      </c>
      <c r="E512">
        <v>84817.96</v>
      </c>
      <c r="F512" t="str">
        <f t="shared" si="7"/>
        <v>200_AMERICANAS</v>
      </c>
    </row>
    <row r="513" spans="1:6" x14ac:dyDescent="0.3">
      <c r="A513" s="2">
        <v>45778</v>
      </c>
      <c r="B513" t="s">
        <v>283</v>
      </c>
      <c r="C513">
        <v>207</v>
      </c>
      <c r="D513" t="s">
        <v>99</v>
      </c>
      <c r="E513">
        <v>670.87</v>
      </c>
      <c r="F513" t="str">
        <f t="shared" si="7"/>
        <v>207_ROSEANE ANJOS ACADEMY</v>
      </c>
    </row>
    <row r="514" spans="1:6" x14ac:dyDescent="0.3">
      <c r="A514" s="2">
        <v>45778</v>
      </c>
      <c r="B514" t="s">
        <v>283</v>
      </c>
      <c r="C514">
        <v>216</v>
      </c>
      <c r="D514" t="s">
        <v>80</v>
      </c>
      <c r="E514">
        <v>69383.59</v>
      </c>
      <c r="F514" t="str">
        <f t="shared" si="7"/>
        <v>216_.SHOES</v>
      </c>
    </row>
    <row r="515" spans="1:6" x14ac:dyDescent="0.3">
      <c r="A515" s="2">
        <v>45778</v>
      </c>
      <c r="B515" t="s">
        <v>283</v>
      </c>
      <c r="C515">
        <v>220</v>
      </c>
      <c r="D515" t="s">
        <v>101</v>
      </c>
      <c r="E515">
        <v>8632.5400000000009</v>
      </c>
      <c r="F515" t="str">
        <f t="shared" ref="F515:F578" si="8">C515&amp;"_"&amp;D515</f>
        <v>220_BARATO E FÁCIL</v>
      </c>
    </row>
    <row r="516" spans="1:6" x14ac:dyDescent="0.3">
      <c r="A516" s="2">
        <v>45778</v>
      </c>
      <c r="B516" t="s">
        <v>283</v>
      </c>
      <c r="C516">
        <v>238</v>
      </c>
      <c r="D516" t="s">
        <v>124</v>
      </c>
      <c r="E516">
        <v>17979.02</v>
      </c>
      <c r="F516" t="str">
        <f t="shared" si="8"/>
        <v>238_HIGIENIZAÇÃO GETSEMANI</v>
      </c>
    </row>
    <row r="517" spans="1:6" x14ac:dyDescent="0.3">
      <c r="A517" s="2">
        <v>45778</v>
      </c>
      <c r="B517" t="s">
        <v>283</v>
      </c>
      <c r="C517">
        <v>247</v>
      </c>
      <c r="D517" t="s">
        <v>126</v>
      </c>
      <c r="E517">
        <v>8269</v>
      </c>
      <c r="F517" t="str">
        <f t="shared" si="8"/>
        <v>247_ESTÚDIO SANTOS TATTOO</v>
      </c>
    </row>
    <row r="518" spans="1:6" x14ac:dyDescent="0.3">
      <c r="A518" s="2">
        <v>45778</v>
      </c>
      <c r="B518" t="s">
        <v>283</v>
      </c>
      <c r="C518">
        <v>303</v>
      </c>
      <c r="D518" t="s">
        <v>81</v>
      </c>
      <c r="E518">
        <v>8610.2199999999993</v>
      </c>
      <c r="F518" t="str">
        <f t="shared" si="8"/>
        <v>303_BABALOO ACESSÓRIOS</v>
      </c>
    </row>
    <row r="519" spans="1:6" x14ac:dyDescent="0.3">
      <c r="A519" s="2">
        <v>45778</v>
      </c>
      <c r="B519" t="s">
        <v>283</v>
      </c>
      <c r="C519">
        <v>309</v>
      </c>
      <c r="D519" t="s">
        <v>199</v>
      </c>
      <c r="E519">
        <v>8049.13</v>
      </c>
      <c r="F519" t="str">
        <f t="shared" si="8"/>
        <v>309_D CASA SABORES</v>
      </c>
    </row>
    <row r="520" spans="1:6" x14ac:dyDescent="0.3">
      <c r="A520" s="2">
        <v>45778</v>
      </c>
      <c r="B520" t="s">
        <v>283</v>
      </c>
      <c r="C520">
        <v>341</v>
      </c>
      <c r="D520" t="s">
        <v>200</v>
      </c>
      <c r="E520">
        <v>27743.52</v>
      </c>
      <c r="F520" t="str">
        <f t="shared" si="8"/>
        <v>341_UNIDUNITÊ</v>
      </c>
    </row>
    <row r="521" spans="1:6" x14ac:dyDescent="0.3">
      <c r="A521" s="2">
        <v>45778</v>
      </c>
      <c r="B521" t="s">
        <v>283</v>
      </c>
      <c r="C521">
        <v>344</v>
      </c>
      <c r="D521" t="s">
        <v>86</v>
      </c>
      <c r="E521">
        <v>24814.68</v>
      </c>
      <c r="F521" t="str">
        <f t="shared" si="8"/>
        <v>344_BY BLITZ</v>
      </c>
    </row>
    <row r="522" spans="1:6" x14ac:dyDescent="0.3">
      <c r="A522" s="2">
        <v>45778</v>
      </c>
      <c r="B522" t="s">
        <v>283</v>
      </c>
      <c r="C522" t="s">
        <v>201</v>
      </c>
      <c r="D522" t="s">
        <v>202</v>
      </c>
      <c r="E522">
        <v>1000</v>
      </c>
      <c r="F522" t="str">
        <f t="shared" si="8"/>
        <v>MIN02_BAIXINHOS CLUB</v>
      </c>
    </row>
    <row r="523" spans="1:6" x14ac:dyDescent="0.3">
      <c r="A523" s="2">
        <v>45778</v>
      </c>
      <c r="B523" t="s">
        <v>283</v>
      </c>
      <c r="C523" t="s">
        <v>203</v>
      </c>
      <c r="D523" t="s">
        <v>90</v>
      </c>
      <c r="E523">
        <v>79185.11</v>
      </c>
      <c r="F523" t="str">
        <f t="shared" si="8"/>
        <v>Q115_JAH DO AÇAÍ</v>
      </c>
    </row>
    <row r="524" spans="1:6" x14ac:dyDescent="0.3">
      <c r="A524" s="2">
        <v>45778</v>
      </c>
      <c r="B524" t="s">
        <v>283</v>
      </c>
      <c r="C524" t="s">
        <v>204</v>
      </c>
      <c r="D524" t="s">
        <v>94</v>
      </c>
      <c r="E524">
        <v>118387.4</v>
      </c>
      <c r="F524" t="str">
        <f t="shared" si="8"/>
        <v>S1_PRATIQUE FITNESS</v>
      </c>
    </row>
    <row r="525" spans="1:6" x14ac:dyDescent="0.3">
      <c r="A525" s="2">
        <v>45809</v>
      </c>
      <c r="B525" t="s">
        <v>282</v>
      </c>
      <c r="C525">
        <v>1027</v>
      </c>
      <c r="D525" t="s">
        <v>205</v>
      </c>
      <c r="E525">
        <v>144161.13000000009</v>
      </c>
      <c r="F525" t="str">
        <f t="shared" si="8"/>
        <v xml:space="preserve">1027_SAÚDE COM VOCÊ </v>
      </c>
    </row>
    <row r="526" spans="1:6" x14ac:dyDescent="0.3">
      <c r="A526" s="2">
        <v>45809</v>
      </c>
      <c r="B526" t="s">
        <v>282</v>
      </c>
      <c r="C526" t="s">
        <v>12</v>
      </c>
      <c r="D526" t="s">
        <v>206</v>
      </c>
      <c r="E526">
        <v>18350.68</v>
      </c>
      <c r="F526" t="str">
        <f t="shared" si="8"/>
        <v xml:space="preserve">1029._BELLAS UNHAS </v>
      </c>
    </row>
    <row r="527" spans="1:6" x14ac:dyDescent="0.3">
      <c r="A527" s="2">
        <v>45809</v>
      </c>
      <c r="B527" t="s">
        <v>282</v>
      </c>
      <c r="C527" t="s">
        <v>14</v>
      </c>
      <c r="D527" t="s">
        <v>207</v>
      </c>
      <c r="E527">
        <v>84312.950000000012</v>
      </c>
      <c r="F527" t="str">
        <f t="shared" si="8"/>
        <v xml:space="preserve">106A_TUDO DELAS MAKEUP </v>
      </c>
    </row>
    <row r="528" spans="1:6" x14ac:dyDescent="0.3">
      <c r="A528" s="2">
        <v>45809</v>
      </c>
      <c r="B528" t="s">
        <v>282</v>
      </c>
      <c r="C528">
        <v>114</v>
      </c>
      <c r="D528" t="s">
        <v>208</v>
      </c>
      <c r="E528">
        <v>12600</v>
      </c>
      <c r="F528" t="str">
        <f t="shared" si="8"/>
        <v xml:space="preserve">114_LANCHONETE LONDRES </v>
      </c>
    </row>
    <row r="529" spans="1:6" x14ac:dyDescent="0.3">
      <c r="A529" s="2">
        <v>45809</v>
      </c>
      <c r="B529" t="s">
        <v>282</v>
      </c>
      <c r="C529">
        <v>115</v>
      </c>
      <c r="D529" t="s">
        <v>209</v>
      </c>
      <c r="E529">
        <v>23878.03</v>
      </c>
      <c r="F529" t="str">
        <f t="shared" si="8"/>
        <v xml:space="preserve">115_CACAU FESTAS </v>
      </c>
    </row>
    <row r="530" spans="1:6" x14ac:dyDescent="0.3">
      <c r="A530" s="2">
        <v>45809</v>
      </c>
      <c r="B530" t="s">
        <v>282</v>
      </c>
      <c r="C530" t="s">
        <v>19</v>
      </c>
      <c r="D530" t="s">
        <v>210</v>
      </c>
      <c r="E530">
        <v>52220.200000000012</v>
      </c>
      <c r="F530" t="str">
        <f t="shared" si="8"/>
        <v xml:space="preserve">125-127_INSTITUTO GOURMET </v>
      </c>
    </row>
    <row r="531" spans="1:6" x14ac:dyDescent="0.3">
      <c r="A531" s="2">
        <v>45809</v>
      </c>
      <c r="B531" t="s">
        <v>282</v>
      </c>
      <c r="C531">
        <v>2004</v>
      </c>
      <c r="D531" t="s">
        <v>211</v>
      </c>
      <c r="E531">
        <v>2446.5</v>
      </c>
      <c r="F531" t="str">
        <f t="shared" si="8"/>
        <v xml:space="preserve">2004_CAFÉ IMPERIAL </v>
      </c>
    </row>
    <row r="532" spans="1:6" x14ac:dyDescent="0.3">
      <c r="A532" s="2">
        <v>45809</v>
      </c>
      <c r="B532" t="s">
        <v>282</v>
      </c>
      <c r="C532">
        <v>2005</v>
      </c>
      <c r="D532" t="s">
        <v>212</v>
      </c>
      <c r="E532">
        <v>8951.4599999999991</v>
      </c>
      <c r="F532" t="str">
        <f t="shared" si="8"/>
        <v xml:space="preserve">2005_BRUNA ALMEIDA CENTRO DE ESTÉTICA </v>
      </c>
    </row>
    <row r="533" spans="1:6" x14ac:dyDescent="0.3">
      <c r="A533" s="2">
        <v>45809</v>
      </c>
      <c r="B533" t="s">
        <v>282</v>
      </c>
      <c r="C533">
        <v>2040</v>
      </c>
      <c r="D533" t="s">
        <v>213</v>
      </c>
      <c r="E533">
        <v>13301.93</v>
      </c>
      <c r="F533" t="str">
        <f t="shared" si="8"/>
        <v xml:space="preserve">2040_THALES FOTOGRAFIA </v>
      </c>
    </row>
    <row r="534" spans="1:6" x14ac:dyDescent="0.3">
      <c r="A534" s="2">
        <v>45809</v>
      </c>
      <c r="B534" t="s">
        <v>282</v>
      </c>
      <c r="C534">
        <v>223</v>
      </c>
      <c r="D534" t="s">
        <v>214</v>
      </c>
      <c r="E534">
        <v>55963.869999999988</v>
      </c>
      <c r="F534" t="str">
        <f t="shared" si="8"/>
        <v xml:space="preserve">223_ALPHABETO </v>
      </c>
    </row>
    <row r="535" spans="1:6" x14ac:dyDescent="0.3">
      <c r="A535" s="2">
        <v>45809</v>
      </c>
      <c r="B535" t="s">
        <v>282</v>
      </c>
      <c r="C535">
        <v>235</v>
      </c>
      <c r="D535" t="s">
        <v>215</v>
      </c>
      <c r="E535">
        <v>167153.48000000001</v>
      </c>
      <c r="F535" t="str">
        <f t="shared" si="8"/>
        <v xml:space="preserve">235_MARISA </v>
      </c>
    </row>
    <row r="536" spans="1:6" x14ac:dyDescent="0.3">
      <c r="A536" s="2">
        <v>45809</v>
      </c>
      <c r="B536" t="s">
        <v>282</v>
      </c>
      <c r="C536">
        <v>246</v>
      </c>
      <c r="D536" t="s">
        <v>216</v>
      </c>
      <c r="E536">
        <v>93113.239999999991</v>
      </c>
      <c r="F536" t="str">
        <f t="shared" si="8"/>
        <v xml:space="preserve">246_AMERICANAS </v>
      </c>
    </row>
    <row r="537" spans="1:6" x14ac:dyDescent="0.3">
      <c r="A537" s="2">
        <v>45809</v>
      </c>
      <c r="B537" t="s">
        <v>282</v>
      </c>
      <c r="C537">
        <v>260</v>
      </c>
      <c r="D537" t="s">
        <v>217</v>
      </c>
      <c r="E537">
        <v>38337.12999999999</v>
      </c>
      <c r="F537" t="str">
        <f t="shared" si="8"/>
        <v xml:space="preserve">260_NEO JÓIAS </v>
      </c>
    </row>
    <row r="538" spans="1:6" x14ac:dyDescent="0.3">
      <c r="A538" s="2">
        <v>45809</v>
      </c>
      <c r="B538" t="s">
        <v>282</v>
      </c>
      <c r="C538">
        <v>271</v>
      </c>
      <c r="D538" t="s">
        <v>218</v>
      </c>
      <c r="E538">
        <v>47801.110000000008</v>
      </c>
      <c r="F538" t="str">
        <f t="shared" si="8"/>
        <v xml:space="preserve">271_ALFAIATARIA </v>
      </c>
    </row>
    <row r="539" spans="1:6" x14ac:dyDescent="0.3">
      <c r="A539" s="2">
        <v>45809</v>
      </c>
      <c r="B539" t="s">
        <v>282</v>
      </c>
      <c r="C539">
        <v>277</v>
      </c>
      <c r="D539" t="s">
        <v>219</v>
      </c>
      <c r="E539">
        <v>216467.90000000011</v>
      </c>
      <c r="F539" t="str">
        <f t="shared" si="8"/>
        <v xml:space="preserve">277_DUCAPS </v>
      </c>
    </row>
    <row r="540" spans="1:6" x14ac:dyDescent="0.3">
      <c r="A540" s="2">
        <v>45809</v>
      </c>
      <c r="B540" t="s">
        <v>282</v>
      </c>
      <c r="C540">
        <v>278</v>
      </c>
      <c r="D540" t="s">
        <v>220</v>
      </c>
      <c r="E540">
        <v>49346.81</v>
      </c>
      <c r="F540" t="str">
        <f t="shared" si="8"/>
        <v xml:space="preserve">278_RF STORE </v>
      </c>
    </row>
    <row r="541" spans="1:6" x14ac:dyDescent="0.3">
      <c r="A541" s="2">
        <v>45809</v>
      </c>
      <c r="B541" t="s">
        <v>282</v>
      </c>
      <c r="C541">
        <v>280</v>
      </c>
      <c r="D541" t="s">
        <v>221</v>
      </c>
      <c r="E541">
        <v>1020915.24</v>
      </c>
      <c r="F541" t="str">
        <f t="shared" si="8"/>
        <v xml:space="preserve">280_CALÇADOS ITAPUÃ </v>
      </c>
    </row>
    <row r="542" spans="1:6" x14ac:dyDescent="0.3">
      <c r="A542" s="2">
        <v>45809</v>
      </c>
      <c r="B542" t="s">
        <v>282</v>
      </c>
      <c r="C542" t="s">
        <v>38</v>
      </c>
      <c r="D542" t="s">
        <v>222</v>
      </c>
      <c r="E542">
        <v>91744.12000000001</v>
      </c>
      <c r="F542" t="str">
        <f t="shared" si="8"/>
        <v xml:space="preserve">315*_HAKUNA BATATA </v>
      </c>
    </row>
    <row r="543" spans="1:6" x14ac:dyDescent="0.3">
      <c r="A543" s="2">
        <v>45809</v>
      </c>
      <c r="B543" t="s">
        <v>282</v>
      </c>
      <c r="C543">
        <v>321</v>
      </c>
      <c r="D543" t="s">
        <v>223</v>
      </c>
      <c r="E543">
        <v>80000</v>
      </c>
      <c r="F543" t="str">
        <f t="shared" si="8"/>
        <v xml:space="preserve">321_APERTE PLAY </v>
      </c>
    </row>
    <row r="544" spans="1:6" x14ac:dyDescent="0.3">
      <c r="A544" s="2">
        <v>45809</v>
      </c>
      <c r="B544" t="s">
        <v>282</v>
      </c>
      <c r="C544">
        <v>329</v>
      </c>
      <c r="D544" t="s">
        <v>224</v>
      </c>
      <c r="E544">
        <v>69522</v>
      </c>
      <c r="F544" t="str">
        <f t="shared" si="8"/>
        <v xml:space="preserve">329_HOT GRILL </v>
      </c>
    </row>
    <row r="545" spans="1:6" x14ac:dyDescent="0.3">
      <c r="A545" s="2">
        <v>45809</v>
      </c>
      <c r="B545" t="s">
        <v>282</v>
      </c>
      <c r="C545">
        <v>332</v>
      </c>
      <c r="D545" t="s">
        <v>225</v>
      </c>
      <c r="E545">
        <v>185191.89999999991</v>
      </c>
      <c r="F545" t="str">
        <f t="shared" si="8"/>
        <v xml:space="preserve">332_SPOLETO </v>
      </c>
    </row>
    <row r="546" spans="1:6" x14ac:dyDescent="0.3">
      <c r="A546" s="2">
        <v>45809</v>
      </c>
      <c r="B546" t="s">
        <v>282</v>
      </c>
      <c r="C546" t="s">
        <v>156</v>
      </c>
      <c r="D546" t="s">
        <v>226</v>
      </c>
      <c r="E546">
        <v>50626.750000000007</v>
      </c>
      <c r="F546" t="str">
        <f t="shared" si="8"/>
        <v xml:space="preserve">4002._ALP MALHAS </v>
      </c>
    </row>
    <row r="547" spans="1:6" x14ac:dyDescent="0.3">
      <c r="A547" s="2">
        <v>45809</v>
      </c>
      <c r="B547" t="s">
        <v>282</v>
      </c>
      <c r="C547">
        <v>410</v>
      </c>
      <c r="D547" t="s">
        <v>227</v>
      </c>
      <c r="E547">
        <v>12046.21</v>
      </c>
      <c r="F547" t="str">
        <f t="shared" si="8"/>
        <v xml:space="preserve">410_COLÉGIO METRÓPOLE </v>
      </c>
    </row>
    <row r="548" spans="1:6" x14ac:dyDescent="0.3">
      <c r="A548" s="2">
        <v>45809</v>
      </c>
      <c r="B548" t="s">
        <v>282</v>
      </c>
      <c r="C548">
        <v>417</v>
      </c>
      <c r="D548" t="s">
        <v>228</v>
      </c>
      <c r="E548">
        <v>198386.92</v>
      </c>
      <c r="F548" t="str">
        <f t="shared" si="8"/>
        <v xml:space="preserve">417_BELEZA NATURAL </v>
      </c>
    </row>
    <row r="549" spans="1:6" x14ac:dyDescent="0.3">
      <c r="A549" s="2">
        <v>45809</v>
      </c>
      <c r="B549" t="s">
        <v>282</v>
      </c>
      <c r="C549" t="s">
        <v>183</v>
      </c>
      <c r="D549" t="s">
        <v>229</v>
      </c>
      <c r="E549">
        <v>299.74</v>
      </c>
      <c r="F549" t="str">
        <f t="shared" si="8"/>
        <v xml:space="preserve">DG01_DG TELEMAR </v>
      </c>
    </row>
    <row r="550" spans="1:6" x14ac:dyDescent="0.3">
      <c r="A550" s="2">
        <v>45809</v>
      </c>
      <c r="B550" t="s">
        <v>282</v>
      </c>
      <c r="C550" t="s">
        <v>149</v>
      </c>
      <c r="D550" t="s">
        <v>230</v>
      </c>
      <c r="E550">
        <v>60498.8</v>
      </c>
      <c r="F550" t="str">
        <f t="shared" si="8"/>
        <v xml:space="preserve">Q102_BURGER KING </v>
      </c>
    </row>
    <row r="551" spans="1:6" x14ac:dyDescent="0.3">
      <c r="A551" s="2">
        <v>45809</v>
      </c>
      <c r="B551" t="s">
        <v>282</v>
      </c>
      <c r="C551" t="s">
        <v>67</v>
      </c>
      <c r="D551" t="s">
        <v>231</v>
      </c>
      <c r="E551">
        <v>2169.2800000000002</v>
      </c>
      <c r="F551" t="str">
        <f t="shared" si="8"/>
        <v xml:space="preserve">Q113_ESTAÇÃO HOT DOG </v>
      </c>
    </row>
    <row r="552" spans="1:6" x14ac:dyDescent="0.3">
      <c r="A552" s="2">
        <v>45809</v>
      </c>
      <c r="B552" t="s">
        <v>282</v>
      </c>
      <c r="C552" t="s">
        <v>151</v>
      </c>
      <c r="D552" t="s">
        <v>230</v>
      </c>
      <c r="E552">
        <v>11427.56</v>
      </c>
      <c r="F552" t="str">
        <f t="shared" si="8"/>
        <v xml:space="preserve">Q314_BURGER KING </v>
      </c>
    </row>
    <row r="553" spans="1:6" x14ac:dyDescent="0.3">
      <c r="A553" s="2">
        <v>45809</v>
      </c>
      <c r="B553" t="s">
        <v>282</v>
      </c>
      <c r="C553" t="s">
        <v>135</v>
      </c>
      <c r="D553" t="s">
        <v>232</v>
      </c>
      <c r="E553">
        <v>8629.9599999999991</v>
      </c>
      <c r="F553" t="str">
        <f t="shared" si="8"/>
        <v xml:space="preserve">Q505_LISIÊ CHOCOLATERIA </v>
      </c>
    </row>
    <row r="554" spans="1:6" x14ac:dyDescent="0.3">
      <c r="A554" s="2">
        <v>45809</v>
      </c>
      <c r="B554" t="s">
        <v>282</v>
      </c>
      <c r="C554" t="s">
        <v>191</v>
      </c>
      <c r="D554" t="s">
        <v>233</v>
      </c>
      <c r="E554">
        <v>1920.15</v>
      </c>
      <c r="F554" t="str">
        <f t="shared" si="8"/>
        <v xml:space="preserve">Q508_VIA CAFÉ </v>
      </c>
    </row>
    <row r="555" spans="1:6" x14ac:dyDescent="0.3">
      <c r="A555" s="2">
        <v>45809</v>
      </c>
      <c r="B555" t="s">
        <v>282</v>
      </c>
      <c r="C555" t="s">
        <v>193</v>
      </c>
      <c r="D555" t="s">
        <v>234</v>
      </c>
      <c r="E555">
        <v>416.66</v>
      </c>
      <c r="F555" t="str">
        <f t="shared" si="8"/>
        <v xml:space="preserve">Q520_ALLAPEL </v>
      </c>
    </row>
    <row r="556" spans="1:6" x14ac:dyDescent="0.3">
      <c r="A556" s="2">
        <v>45809</v>
      </c>
      <c r="B556" t="s">
        <v>282</v>
      </c>
      <c r="C556" t="s">
        <v>235</v>
      </c>
      <c r="D556" t="s">
        <v>236</v>
      </c>
      <c r="E556">
        <v>112.08</v>
      </c>
      <c r="F556" t="str">
        <f t="shared" si="8"/>
        <v xml:space="preserve">Q54*_TRICAMPEÃO LOTERIAS </v>
      </c>
    </row>
    <row r="557" spans="1:6" x14ac:dyDescent="0.3">
      <c r="A557" s="2">
        <v>45809</v>
      </c>
      <c r="B557" t="s">
        <v>282</v>
      </c>
      <c r="C557" t="s">
        <v>152</v>
      </c>
      <c r="D557" t="s">
        <v>237</v>
      </c>
      <c r="E557">
        <v>2084.21</v>
      </c>
      <c r="F557" t="str">
        <f t="shared" si="8"/>
        <v xml:space="preserve">QPE04_CARACOL ENTRETENIMENTOS </v>
      </c>
    </row>
    <row r="558" spans="1:6" x14ac:dyDescent="0.3">
      <c r="A558" s="2">
        <v>45809</v>
      </c>
      <c r="B558" t="s">
        <v>283</v>
      </c>
      <c r="C558">
        <v>102</v>
      </c>
      <c r="D558" t="s">
        <v>74</v>
      </c>
      <c r="E558">
        <v>46687.919999999991</v>
      </c>
      <c r="F558" t="str">
        <f t="shared" si="8"/>
        <v>102_MERCADO DO CARRO</v>
      </c>
    </row>
    <row r="559" spans="1:6" x14ac:dyDescent="0.3">
      <c r="A559" s="2">
        <v>45809</v>
      </c>
      <c r="B559" t="s">
        <v>283</v>
      </c>
      <c r="C559">
        <v>110</v>
      </c>
      <c r="D559" t="s">
        <v>198</v>
      </c>
      <c r="E559">
        <v>205037.64</v>
      </c>
      <c r="F559" t="str">
        <f t="shared" si="8"/>
        <v>110_DOMINOS PIZZA</v>
      </c>
    </row>
    <row r="560" spans="1:6" x14ac:dyDescent="0.3">
      <c r="A560" s="2">
        <v>45809</v>
      </c>
      <c r="B560" t="s">
        <v>283</v>
      </c>
      <c r="C560">
        <v>112</v>
      </c>
      <c r="D560" t="s">
        <v>77</v>
      </c>
      <c r="E560">
        <v>267313.79999999987</v>
      </c>
      <c r="F560" t="str">
        <f t="shared" si="8"/>
        <v>112_AÇAFRÃO DA TERRA</v>
      </c>
    </row>
    <row r="561" spans="1:6" x14ac:dyDescent="0.3">
      <c r="A561" s="2">
        <v>45809</v>
      </c>
      <c r="B561" t="s">
        <v>283</v>
      </c>
      <c r="C561">
        <v>119</v>
      </c>
      <c r="D561" t="s">
        <v>78</v>
      </c>
      <c r="E561">
        <v>11518.57</v>
      </c>
      <c r="F561" t="str">
        <f t="shared" si="8"/>
        <v>119_CACAU SHOW</v>
      </c>
    </row>
    <row r="562" spans="1:6" x14ac:dyDescent="0.3">
      <c r="A562" s="2">
        <v>45809</v>
      </c>
      <c r="B562" t="s">
        <v>283</v>
      </c>
      <c r="C562">
        <v>200</v>
      </c>
      <c r="D562" t="s">
        <v>32</v>
      </c>
      <c r="E562">
        <v>40511.08</v>
      </c>
      <c r="F562" t="str">
        <f t="shared" si="8"/>
        <v>200_AMERICANAS</v>
      </c>
    </row>
    <row r="563" spans="1:6" x14ac:dyDescent="0.3">
      <c r="A563" s="2">
        <v>45809</v>
      </c>
      <c r="B563" t="s">
        <v>283</v>
      </c>
      <c r="C563">
        <v>207</v>
      </c>
      <c r="D563" t="s">
        <v>99</v>
      </c>
      <c r="E563">
        <v>335.44</v>
      </c>
      <c r="F563" t="str">
        <f t="shared" si="8"/>
        <v>207_ROSEANE ANJOS ACADEMY</v>
      </c>
    </row>
    <row r="564" spans="1:6" x14ac:dyDescent="0.3">
      <c r="A564" s="2">
        <v>45809</v>
      </c>
      <c r="B564" t="s">
        <v>283</v>
      </c>
      <c r="C564">
        <v>216</v>
      </c>
      <c r="D564" t="s">
        <v>80</v>
      </c>
      <c r="E564">
        <v>70310.900000000009</v>
      </c>
      <c r="F564" t="str">
        <f t="shared" si="8"/>
        <v>216_.SHOES</v>
      </c>
    </row>
    <row r="565" spans="1:6" x14ac:dyDescent="0.3">
      <c r="A565" s="2">
        <v>45809</v>
      </c>
      <c r="B565" t="s">
        <v>283</v>
      </c>
      <c r="C565">
        <v>220</v>
      </c>
      <c r="D565" t="s">
        <v>101</v>
      </c>
      <c r="E565">
        <v>4362.5400000000009</v>
      </c>
      <c r="F565" t="str">
        <f t="shared" si="8"/>
        <v>220_BARATO E FÁCIL</v>
      </c>
    </row>
    <row r="566" spans="1:6" x14ac:dyDescent="0.3">
      <c r="A566" s="2">
        <v>45809</v>
      </c>
      <c r="B566" t="s">
        <v>283</v>
      </c>
      <c r="C566">
        <v>238</v>
      </c>
      <c r="D566" t="s">
        <v>124</v>
      </c>
      <c r="E566">
        <v>7787.38</v>
      </c>
      <c r="F566" t="str">
        <f t="shared" si="8"/>
        <v>238_HIGIENIZAÇÃO GETSEMANI</v>
      </c>
    </row>
    <row r="567" spans="1:6" x14ac:dyDescent="0.3">
      <c r="A567" s="2">
        <v>45809</v>
      </c>
      <c r="B567" t="s">
        <v>283</v>
      </c>
      <c r="C567">
        <v>243</v>
      </c>
      <c r="D567" t="s">
        <v>238</v>
      </c>
      <c r="E567">
        <v>3326.9100000000012</v>
      </c>
      <c r="F567" t="str">
        <f t="shared" si="8"/>
        <v>243_CERTCODE</v>
      </c>
    </row>
    <row r="568" spans="1:6" x14ac:dyDescent="0.3">
      <c r="A568" s="2">
        <v>45809</v>
      </c>
      <c r="B568" t="s">
        <v>283</v>
      </c>
      <c r="C568">
        <v>247</v>
      </c>
      <c r="D568" t="s">
        <v>126</v>
      </c>
      <c r="E568">
        <v>8797.6899999999987</v>
      </c>
      <c r="F568" t="str">
        <f t="shared" si="8"/>
        <v>247_ESTÚDIO SANTOS TATTOO</v>
      </c>
    </row>
    <row r="569" spans="1:6" x14ac:dyDescent="0.3">
      <c r="A569" s="2">
        <v>45809</v>
      </c>
      <c r="B569" t="s">
        <v>283</v>
      </c>
      <c r="C569">
        <v>303</v>
      </c>
      <c r="D569" t="s">
        <v>81</v>
      </c>
      <c r="E569">
        <v>3570.690000000001</v>
      </c>
      <c r="F569" t="str">
        <f t="shared" si="8"/>
        <v>303_BABALOO ACESSÓRIOS</v>
      </c>
    </row>
    <row r="570" spans="1:6" x14ac:dyDescent="0.3">
      <c r="A570" s="2">
        <v>45809</v>
      </c>
      <c r="B570" t="s">
        <v>283</v>
      </c>
      <c r="C570">
        <v>309</v>
      </c>
      <c r="D570" t="s">
        <v>199</v>
      </c>
      <c r="E570">
        <v>670.76</v>
      </c>
      <c r="F570" t="str">
        <f t="shared" si="8"/>
        <v>309_D CASA SABORES</v>
      </c>
    </row>
    <row r="571" spans="1:6" x14ac:dyDescent="0.3">
      <c r="A571" s="2">
        <v>45809</v>
      </c>
      <c r="B571" t="s">
        <v>283</v>
      </c>
      <c r="C571">
        <v>341</v>
      </c>
      <c r="D571" t="s">
        <v>200</v>
      </c>
      <c r="E571">
        <v>10088.549999999999</v>
      </c>
      <c r="F571" t="str">
        <f t="shared" si="8"/>
        <v>341_UNIDUNITÊ</v>
      </c>
    </row>
    <row r="572" spans="1:6" x14ac:dyDescent="0.3">
      <c r="A572" s="2">
        <v>45809</v>
      </c>
      <c r="B572" t="s">
        <v>283</v>
      </c>
      <c r="C572">
        <v>344</v>
      </c>
      <c r="D572" t="s">
        <v>86</v>
      </c>
      <c r="E572">
        <v>10518.07</v>
      </c>
      <c r="F572" t="str">
        <f t="shared" si="8"/>
        <v>344_BY BLITZ</v>
      </c>
    </row>
    <row r="573" spans="1:6" x14ac:dyDescent="0.3">
      <c r="A573" s="2">
        <v>45809</v>
      </c>
      <c r="B573" t="s">
        <v>283</v>
      </c>
      <c r="C573" t="s">
        <v>239</v>
      </c>
      <c r="D573" t="s">
        <v>154</v>
      </c>
      <c r="E573">
        <v>1500</v>
      </c>
      <c r="F573" t="str">
        <f t="shared" si="8"/>
        <v>MIN01_SPACE PHONE</v>
      </c>
    </row>
    <row r="574" spans="1:6" x14ac:dyDescent="0.3">
      <c r="A574" s="2">
        <v>45809</v>
      </c>
      <c r="B574" t="s">
        <v>283</v>
      </c>
      <c r="C574" t="s">
        <v>203</v>
      </c>
      <c r="D574" t="s">
        <v>90</v>
      </c>
      <c r="E574">
        <v>53431.860000000008</v>
      </c>
      <c r="F574" t="str">
        <f t="shared" si="8"/>
        <v>Q115_JAH DO AÇAÍ</v>
      </c>
    </row>
    <row r="575" spans="1:6" x14ac:dyDescent="0.3">
      <c r="A575" s="2">
        <v>45809</v>
      </c>
      <c r="B575" t="s">
        <v>283</v>
      </c>
      <c r="C575" t="s">
        <v>204</v>
      </c>
      <c r="D575" t="s">
        <v>94</v>
      </c>
      <c r="E575">
        <v>118387.4</v>
      </c>
      <c r="F575" t="str">
        <f t="shared" si="8"/>
        <v>S1_PRATIQUE FITNESS</v>
      </c>
    </row>
    <row r="576" spans="1:6" x14ac:dyDescent="0.3">
      <c r="A576" s="2">
        <v>45839</v>
      </c>
      <c r="B576" t="s">
        <v>282</v>
      </c>
      <c r="C576">
        <v>332</v>
      </c>
      <c r="D576" t="s">
        <v>43</v>
      </c>
      <c r="E576">
        <v>160091.9</v>
      </c>
      <c r="F576" t="str">
        <f t="shared" si="8"/>
        <v>332_SPOLETO</v>
      </c>
    </row>
    <row r="577" spans="1:6" x14ac:dyDescent="0.3">
      <c r="A577" s="2">
        <v>45839</v>
      </c>
      <c r="B577" t="s">
        <v>282</v>
      </c>
      <c r="C577" t="s">
        <v>240</v>
      </c>
      <c r="D577" t="s">
        <v>9</v>
      </c>
      <c r="E577">
        <v>88283.789999999964</v>
      </c>
      <c r="F577" t="str">
        <f t="shared" si="8"/>
        <v>1027_SAÚDE COM VOCÊ</v>
      </c>
    </row>
    <row r="578" spans="1:6" x14ac:dyDescent="0.3">
      <c r="A578" s="2">
        <v>45839</v>
      </c>
      <c r="B578" t="s">
        <v>282</v>
      </c>
      <c r="C578" t="s">
        <v>241</v>
      </c>
      <c r="D578" t="s">
        <v>13</v>
      </c>
      <c r="E578">
        <v>21161.5</v>
      </c>
      <c r="F578" t="str">
        <f t="shared" si="8"/>
        <v>1029_BELLAS UNHAS</v>
      </c>
    </row>
    <row r="579" spans="1:6" x14ac:dyDescent="0.3">
      <c r="A579" s="2">
        <v>45839</v>
      </c>
      <c r="B579" t="s">
        <v>282</v>
      </c>
      <c r="C579" t="s">
        <v>14</v>
      </c>
      <c r="D579" t="s">
        <v>15</v>
      </c>
      <c r="E579">
        <v>68983.33</v>
      </c>
      <c r="F579" t="str">
        <f t="shared" ref="F579:F621" si="9">C579&amp;"_"&amp;D579</f>
        <v>106A_TUDO DELAS MAKEUP</v>
      </c>
    </row>
    <row r="580" spans="1:6" x14ac:dyDescent="0.3">
      <c r="A580" s="2">
        <v>45839</v>
      </c>
      <c r="B580" t="s">
        <v>282</v>
      </c>
      <c r="C580" t="s">
        <v>242</v>
      </c>
      <c r="D580" t="s">
        <v>18</v>
      </c>
      <c r="E580">
        <v>43636.2</v>
      </c>
      <c r="F580" t="str">
        <f t="shared" si="9"/>
        <v>114_LANCHONETE LONDRES</v>
      </c>
    </row>
    <row r="581" spans="1:6" x14ac:dyDescent="0.3">
      <c r="A581" s="2">
        <v>45839</v>
      </c>
      <c r="B581" t="s">
        <v>282</v>
      </c>
      <c r="C581" t="s">
        <v>243</v>
      </c>
      <c r="D581" t="s">
        <v>171</v>
      </c>
      <c r="E581">
        <v>23797.46</v>
      </c>
      <c r="F581" t="str">
        <f t="shared" si="9"/>
        <v>115_CACAU FESTAS</v>
      </c>
    </row>
    <row r="582" spans="1:6" x14ac:dyDescent="0.3">
      <c r="A582" s="2">
        <v>45839</v>
      </c>
      <c r="B582" t="s">
        <v>282</v>
      </c>
      <c r="C582" t="s">
        <v>244</v>
      </c>
      <c r="D582" t="s">
        <v>20</v>
      </c>
      <c r="E582">
        <v>57097.05000000001</v>
      </c>
      <c r="F582" t="str">
        <f t="shared" si="9"/>
        <v>125_INSTITUTO GOURMET</v>
      </c>
    </row>
    <row r="583" spans="1:6" x14ac:dyDescent="0.3">
      <c r="A583" s="2">
        <v>45839</v>
      </c>
      <c r="B583" t="s">
        <v>282</v>
      </c>
      <c r="C583" t="s">
        <v>245</v>
      </c>
      <c r="D583" t="s">
        <v>180</v>
      </c>
      <c r="E583">
        <v>7459.55</v>
      </c>
      <c r="F583" t="str">
        <f t="shared" si="9"/>
        <v>2007_BRUNA ALMEIDA CENTRO DE ESTÉTICA</v>
      </c>
    </row>
    <row r="584" spans="1:6" x14ac:dyDescent="0.3">
      <c r="A584" s="2">
        <v>45839</v>
      </c>
      <c r="B584" t="s">
        <v>282</v>
      </c>
      <c r="C584" t="s">
        <v>246</v>
      </c>
      <c r="D584" t="s">
        <v>28</v>
      </c>
      <c r="E584">
        <v>13301.93</v>
      </c>
      <c r="F584" t="str">
        <f t="shared" si="9"/>
        <v>2040_THALES FOTOGRAFIA</v>
      </c>
    </row>
    <row r="585" spans="1:6" x14ac:dyDescent="0.3">
      <c r="A585" s="2">
        <v>45839</v>
      </c>
      <c r="B585" t="s">
        <v>282</v>
      </c>
      <c r="C585" t="s">
        <v>247</v>
      </c>
      <c r="D585" t="s">
        <v>248</v>
      </c>
      <c r="E585">
        <v>7113.15</v>
      </c>
      <c r="F585" t="str">
        <f t="shared" si="9"/>
        <v>227_TERRÁ</v>
      </c>
    </row>
    <row r="586" spans="1:6" x14ac:dyDescent="0.3">
      <c r="A586" s="2">
        <v>45839</v>
      </c>
      <c r="B586" t="s">
        <v>282</v>
      </c>
      <c r="C586" t="s">
        <v>249</v>
      </c>
      <c r="D586" t="s">
        <v>250</v>
      </c>
      <c r="E586">
        <v>16773.95</v>
      </c>
      <c r="F586" t="str">
        <f t="shared" si="9"/>
        <v>234_ESPAÇO LASER</v>
      </c>
    </row>
    <row r="587" spans="1:6" x14ac:dyDescent="0.3">
      <c r="A587" s="2">
        <v>45839</v>
      </c>
      <c r="B587" t="s">
        <v>282</v>
      </c>
      <c r="C587" t="s">
        <v>251</v>
      </c>
      <c r="D587" t="s">
        <v>31</v>
      </c>
      <c r="E587">
        <v>175431.26</v>
      </c>
      <c r="F587" t="str">
        <f t="shared" si="9"/>
        <v>235_MARISA</v>
      </c>
    </row>
    <row r="588" spans="1:6" x14ac:dyDescent="0.3">
      <c r="A588" s="2">
        <v>45839</v>
      </c>
      <c r="B588" t="s">
        <v>282</v>
      </c>
      <c r="C588" t="s">
        <v>252</v>
      </c>
      <c r="D588" t="s">
        <v>32</v>
      </c>
      <c r="E588">
        <v>69230.11</v>
      </c>
      <c r="F588" t="str">
        <f t="shared" si="9"/>
        <v>246_AMERICANAS</v>
      </c>
    </row>
    <row r="589" spans="1:6" x14ac:dyDescent="0.3">
      <c r="A589" s="2">
        <v>45839</v>
      </c>
      <c r="B589" t="s">
        <v>282</v>
      </c>
      <c r="C589" t="s">
        <v>253</v>
      </c>
      <c r="D589" t="s">
        <v>34</v>
      </c>
      <c r="E589">
        <v>38387.609999999993</v>
      </c>
      <c r="F589" t="str">
        <f t="shared" si="9"/>
        <v>260_NEO JÓIAS</v>
      </c>
    </row>
    <row r="590" spans="1:6" x14ac:dyDescent="0.3">
      <c r="A590" s="2">
        <v>45839</v>
      </c>
      <c r="B590" t="s">
        <v>282</v>
      </c>
      <c r="C590" t="s">
        <v>254</v>
      </c>
      <c r="D590" t="s">
        <v>138</v>
      </c>
      <c r="E590">
        <v>45913.36</v>
      </c>
      <c r="F590" t="str">
        <f t="shared" si="9"/>
        <v>271_ALFAIATARIA</v>
      </c>
    </row>
    <row r="591" spans="1:6" x14ac:dyDescent="0.3">
      <c r="A591" s="2">
        <v>45839</v>
      </c>
      <c r="B591" t="s">
        <v>282</v>
      </c>
      <c r="C591" t="s">
        <v>255</v>
      </c>
      <c r="D591" t="s">
        <v>36</v>
      </c>
      <c r="E591">
        <v>215668.11</v>
      </c>
      <c r="F591" t="str">
        <f t="shared" si="9"/>
        <v>277_DUCAPS</v>
      </c>
    </row>
    <row r="592" spans="1:6" x14ac:dyDescent="0.3">
      <c r="A592" s="2">
        <v>45839</v>
      </c>
      <c r="B592" t="s">
        <v>282</v>
      </c>
      <c r="C592" t="s">
        <v>256</v>
      </c>
      <c r="D592" t="s">
        <v>37</v>
      </c>
      <c r="E592">
        <v>39833.15</v>
      </c>
      <c r="F592" t="str">
        <f t="shared" si="9"/>
        <v>278_RF STORE</v>
      </c>
    </row>
    <row r="593" spans="1:6" x14ac:dyDescent="0.3">
      <c r="A593" s="2">
        <v>45839</v>
      </c>
      <c r="B593" t="s">
        <v>282</v>
      </c>
      <c r="C593" t="s">
        <v>257</v>
      </c>
      <c r="D593" t="s">
        <v>172</v>
      </c>
      <c r="E593">
        <v>146171.71</v>
      </c>
      <c r="F593" t="str">
        <f t="shared" si="9"/>
        <v>280_CALÇADOS ITAPUÃ</v>
      </c>
    </row>
    <row r="594" spans="1:6" x14ac:dyDescent="0.3">
      <c r="A594" s="2">
        <v>45839</v>
      </c>
      <c r="B594" t="s">
        <v>282</v>
      </c>
      <c r="C594" t="s">
        <v>258</v>
      </c>
      <c r="D594" t="s">
        <v>40</v>
      </c>
      <c r="E594">
        <v>70953.430000000008</v>
      </c>
      <c r="F594" t="str">
        <f t="shared" si="9"/>
        <v>321_APERTE PLAY</v>
      </c>
    </row>
    <row r="595" spans="1:6" x14ac:dyDescent="0.3">
      <c r="A595" s="2">
        <v>45839</v>
      </c>
      <c r="B595" t="s">
        <v>282</v>
      </c>
      <c r="C595" t="s">
        <v>259</v>
      </c>
      <c r="D595" t="s">
        <v>42</v>
      </c>
      <c r="E595">
        <v>74307.339999999967</v>
      </c>
      <c r="F595" t="str">
        <f t="shared" si="9"/>
        <v>329_HOT GRILL</v>
      </c>
    </row>
    <row r="596" spans="1:6" x14ac:dyDescent="0.3">
      <c r="A596" s="2">
        <v>45839</v>
      </c>
      <c r="B596" t="s">
        <v>282</v>
      </c>
      <c r="C596" t="s">
        <v>260</v>
      </c>
      <c r="D596" t="s">
        <v>157</v>
      </c>
      <c r="E596">
        <v>45626.750000000007</v>
      </c>
      <c r="F596" t="str">
        <f t="shared" si="9"/>
        <v>4002_ALP MALHAS</v>
      </c>
    </row>
    <row r="597" spans="1:6" x14ac:dyDescent="0.3">
      <c r="A597" s="2">
        <v>45839</v>
      </c>
      <c r="B597" t="s">
        <v>282</v>
      </c>
      <c r="C597" t="s">
        <v>261</v>
      </c>
      <c r="D597" t="s">
        <v>45</v>
      </c>
      <c r="E597">
        <v>227233.21999999991</v>
      </c>
      <c r="F597" t="str">
        <f t="shared" si="9"/>
        <v>417_BELEZA NATURAL</v>
      </c>
    </row>
    <row r="598" spans="1:6" x14ac:dyDescent="0.3">
      <c r="A598" s="2">
        <v>45839</v>
      </c>
      <c r="B598" t="s">
        <v>282</v>
      </c>
      <c r="C598" t="s">
        <v>239</v>
      </c>
      <c r="D598" t="s">
        <v>262</v>
      </c>
      <c r="E598">
        <v>1000</v>
      </c>
      <c r="F598" t="str">
        <f t="shared" si="9"/>
        <v>MIN01_LOVE GIFTS - MIDIA INAUGURAL</v>
      </c>
    </row>
    <row r="599" spans="1:6" x14ac:dyDescent="0.3">
      <c r="A599" s="2">
        <v>45839</v>
      </c>
      <c r="B599" t="s">
        <v>282</v>
      </c>
      <c r="C599" t="s">
        <v>263</v>
      </c>
      <c r="D599" t="s">
        <v>264</v>
      </c>
      <c r="E599">
        <v>3333.35</v>
      </c>
      <c r="F599" t="str">
        <f t="shared" si="9"/>
        <v>MIN03_JD SKATE - MIDIA INAUGURAL</v>
      </c>
    </row>
    <row r="600" spans="1:6" x14ac:dyDescent="0.3">
      <c r="A600" s="2">
        <v>45839</v>
      </c>
      <c r="B600" t="s">
        <v>282</v>
      </c>
      <c r="C600" t="s">
        <v>105</v>
      </c>
      <c r="D600" t="s">
        <v>146</v>
      </c>
      <c r="E600">
        <v>500</v>
      </c>
      <c r="F600" t="str">
        <f t="shared" si="9"/>
        <v>MIN04_OGGI SORVETES - MIDIA INAUGURAL</v>
      </c>
    </row>
    <row r="601" spans="1:6" x14ac:dyDescent="0.3">
      <c r="A601" s="2">
        <v>45839</v>
      </c>
      <c r="B601" t="s">
        <v>282</v>
      </c>
      <c r="C601" t="s">
        <v>107</v>
      </c>
      <c r="D601" t="s">
        <v>108</v>
      </c>
      <c r="E601">
        <v>4000</v>
      </c>
      <c r="F601" t="str">
        <f t="shared" si="9"/>
        <v>MIN10_MARVILLE - MÍDIA</v>
      </c>
    </row>
    <row r="602" spans="1:6" x14ac:dyDescent="0.3">
      <c r="A602" s="2">
        <v>45839</v>
      </c>
      <c r="B602" t="s">
        <v>282</v>
      </c>
      <c r="C602" t="s">
        <v>149</v>
      </c>
      <c r="D602" t="s">
        <v>150</v>
      </c>
      <c r="E602">
        <v>68061.149999999994</v>
      </c>
      <c r="F602" t="str">
        <f t="shared" si="9"/>
        <v>Q102_BURGER KING</v>
      </c>
    </row>
    <row r="603" spans="1:6" x14ac:dyDescent="0.3">
      <c r="A603" s="2">
        <v>45839</v>
      </c>
      <c r="B603" t="s">
        <v>282</v>
      </c>
      <c r="C603" t="s">
        <v>67</v>
      </c>
      <c r="D603" t="s">
        <v>68</v>
      </c>
      <c r="E603">
        <v>1626.96</v>
      </c>
      <c r="F603" t="str">
        <f t="shared" si="9"/>
        <v>Q113_ESTAÇÃO HOT DOG</v>
      </c>
    </row>
    <row r="604" spans="1:6" x14ac:dyDescent="0.3">
      <c r="A604" s="2">
        <v>45839</v>
      </c>
      <c r="B604" t="s">
        <v>282</v>
      </c>
      <c r="C604" t="s">
        <v>151</v>
      </c>
      <c r="D604" t="s">
        <v>150</v>
      </c>
      <c r="E604">
        <v>11427.56</v>
      </c>
      <c r="F604" t="str">
        <f t="shared" si="9"/>
        <v>Q314_BURGER KING</v>
      </c>
    </row>
    <row r="605" spans="1:6" x14ac:dyDescent="0.3">
      <c r="A605" s="2">
        <v>45839</v>
      </c>
      <c r="B605" t="s">
        <v>282</v>
      </c>
      <c r="C605" t="s">
        <v>193</v>
      </c>
      <c r="D605" t="s">
        <v>194</v>
      </c>
      <c r="E605">
        <v>416.66</v>
      </c>
      <c r="F605" t="str">
        <f t="shared" si="9"/>
        <v>Q520_ALLAPEL</v>
      </c>
    </row>
    <row r="606" spans="1:6" x14ac:dyDescent="0.3">
      <c r="A606" s="2">
        <v>45839</v>
      </c>
      <c r="B606" t="s">
        <v>282</v>
      </c>
      <c r="C606" t="s">
        <v>152</v>
      </c>
      <c r="D606" t="s">
        <v>153</v>
      </c>
      <c r="E606">
        <v>2227.04</v>
      </c>
      <c r="F606" t="str">
        <f t="shared" si="9"/>
        <v>QPE04_CARACOL ENTRETENIMENTOS</v>
      </c>
    </row>
    <row r="607" spans="1:6" x14ac:dyDescent="0.3">
      <c r="A607" s="2">
        <v>45839</v>
      </c>
      <c r="B607" t="s">
        <v>283</v>
      </c>
      <c r="C607" t="s">
        <v>265</v>
      </c>
      <c r="D607" t="s">
        <v>74</v>
      </c>
      <c r="E607">
        <v>56236.849999999977</v>
      </c>
      <c r="F607" t="str">
        <f t="shared" si="9"/>
        <v>102_MERCADO DO CARRO</v>
      </c>
    </row>
    <row r="608" spans="1:6" x14ac:dyDescent="0.3">
      <c r="A608" s="2">
        <v>45839</v>
      </c>
      <c r="B608" t="s">
        <v>283</v>
      </c>
      <c r="C608" t="s">
        <v>266</v>
      </c>
      <c r="D608" t="s">
        <v>198</v>
      </c>
      <c r="E608">
        <v>211768.4200000001</v>
      </c>
      <c r="F608" t="str">
        <f t="shared" si="9"/>
        <v>110_DOMINOS PIZZA</v>
      </c>
    </row>
    <row r="609" spans="1:6" x14ac:dyDescent="0.3">
      <c r="A609" s="2">
        <v>45839</v>
      </c>
      <c r="B609" t="s">
        <v>283</v>
      </c>
      <c r="C609" t="s">
        <v>267</v>
      </c>
      <c r="D609" t="s">
        <v>268</v>
      </c>
      <c r="E609">
        <v>276965.68999999989</v>
      </c>
      <c r="F609" t="str">
        <f t="shared" si="9"/>
        <v xml:space="preserve">112_AÇAFRÃO DA TERRA </v>
      </c>
    </row>
    <row r="610" spans="1:6" x14ac:dyDescent="0.3">
      <c r="A610" s="2">
        <v>45839</v>
      </c>
      <c r="B610" t="s">
        <v>283</v>
      </c>
      <c r="C610" t="s">
        <v>269</v>
      </c>
      <c r="D610" t="s">
        <v>78</v>
      </c>
      <c r="E610">
        <v>20005.78</v>
      </c>
      <c r="F610" t="str">
        <f t="shared" si="9"/>
        <v>119_CACAU SHOW</v>
      </c>
    </row>
    <row r="611" spans="1:6" x14ac:dyDescent="0.3">
      <c r="A611" s="2">
        <v>45839</v>
      </c>
      <c r="B611" t="s">
        <v>283</v>
      </c>
      <c r="C611" t="s">
        <v>270</v>
      </c>
      <c r="D611" t="s">
        <v>32</v>
      </c>
      <c r="E611">
        <v>40007.420000000013</v>
      </c>
      <c r="F611" t="str">
        <f t="shared" si="9"/>
        <v>200_AMERICANAS</v>
      </c>
    </row>
    <row r="612" spans="1:6" x14ac:dyDescent="0.3">
      <c r="A612" s="2">
        <v>45839</v>
      </c>
      <c r="B612" t="s">
        <v>283</v>
      </c>
      <c r="C612" t="s">
        <v>271</v>
      </c>
      <c r="D612" t="s">
        <v>80</v>
      </c>
      <c r="E612">
        <v>49810.19000000001</v>
      </c>
      <c r="F612" t="str">
        <f t="shared" si="9"/>
        <v>216_.SHOES</v>
      </c>
    </row>
    <row r="613" spans="1:6" x14ac:dyDescent="0.3">
      <c r="A613" s="2">
        <v>45839</v>
      </c>
      <c r="B613" t="s">
        <v>283</v>
      </c>
      <c r="C613" t="s">
        <v>272</v>
      </c>
      <c r="D613" t="s">
        <v>101</v>
      </c>
      <c r="E613">
        <v>4252.8600000000006</v>
      </c>
      <c r="F613" t="str">
        <f t="shared" si="9"/>
        <v>220_BARATO E FÁCIL</v>
      </c>
    </row>
    <row r="614" spans="1:6" x14ac:dyDescent="0.3">
      <c r="A614" s="2">
        <v>45839</v>
      </c>
      <c r="B614" t="s">
        <v>283</v>
      </c>
      <c r="C614" t="s">
        <v>273</v>
      </c>
      <c r="D614" t="s">
        <v>124</v>
      </c>
      <c r="E614">
        <v>7008.6500000000005</v>
      </c>
      <c r="F614" t="str">
        <f t="shared" si="9"/>
        <v>238_HIGIENIZAÇÃO GETSEMANI</v>
      </c>
    </row>
    <row r="615" spans="1:6" x14ac:dyDescent="0.3">
      <c r="A615" s="2">
        <v>45839</v>
      </c>
      <c r="B615" t="s">
        <v>283</v>
      </c>
      <c r="C615" t="s">
        <v>274</v>
      </c>
      <c r="D615" t="s">
        <v>238</v>
      </c>
      <c r="E615">
        <v>5050.54</v>
      </c>
      <c r="F615" t="str">
        <f t="shared" si="9"/>
        <v>243_CERTCODE</v>
      </c>
    </row>
    <row r="616" spans="1:6" x14ac:dyDescent="0.3">
      <c r="A616" s="2">
        <v>45839</v>
      </c>
      <c r="B616" t="s">
        <v>283</v>
      </c>
      <c r="C616" t="s">
        <v>275</v>
      </c>
      <c r="D616" t="s">
        <v>126</v>
      </c>
      <c r="E616">
        <v>7318.82</v>
      </c>
      <c r="F616" t="str">
        <f t="shared" si="9"/>
        <v>247_ESTÚDIO SANTOS TATTOO</v>
      </c>
    </row>
    <row r="617" spans="1:6" x14ac:dyDescent="0.3">
      <c r="A617" s="2">
        <v>45839</v>
      </c>
      <c r="B617" t="s">
        <v>283</v>
      </c>
      <c r="C617" t="s">
        <v>276</v>
      </c>
      <c r="D617" t="s">
        <v>81</v>
      </c>
      <c r="E617">
        <v>8087.9600000000009</v>
      </c>
      <c r="F617" t="str">
        <f t="shared" si="9"/>
        <v>303_BABALOO ACESSÓRIOS</v>
      </c>
    </row>
    <row r="618" spans="1:6" x14ac:dyDescent="0.3">
      <c r="A618" s="2">
        <v>45839</v>
      </c>
      <c r="B618" t="s">
        <v>283</v>
      </c>
      <c r="C618" t="s">
        <v>277</v>
      </c>
      <c r="D618" t="s">
        <v>200</v>
      </c>
      <c r="E618">
        <v>7566.41</v>
      </c>
      <c r="F618" t="str">
        <f t="shared" si="9"/>
        <v>341_UNIDUNITÊ</v>
      </c>
    </row>
    <row r="619" spans="1:6" x14ac:dyDescent="0.3">
      <c r="A619" s="2">
        <v>45839</v>
      </c>
      <c r="B619" t="s">
        <v>283</v>
      </c>
      <c r="C619" t="s">
        <v>278</v>
      </c>
      <c r="D619" t="s">
        <v>279</v>
      </c>
      <c r="E619">
        <v>8219.86</v>
      </c>
      <c r="F619" t="str">
        <f t="shared" si="9"/>
        <v xml:space="preserve">344_BY BLITZ </v>
      </c>
    </row>
    <row r="620" spans="1:6" x14ac:dyDescent="0.3">
      <c r="A620" s="2">
        <v>45839</v>
      </c>
      <c r="B620" t="s">
        <v>283</v>
      </c>
      <c r="C620" t="s">
        <v>203</v>
      </c>
      <c r="D620" t="s">
        <v>90</v>
      </c>
      <c r="E620">
        <v>51369.74</v>
      </c>
      <c r="F620" t="str">
        <f t="shared" si="9"/>
        <v>Q115_JAH DO AÇAÍ</v>
      </c>
    </row>
    <row r="621" spans="1:6" x14ac:dyDescent="0.3">
      <c r="A621" s="2">
        <v>45839</v>
      </c>
      <c r="B621" t="s">
        <v>283</v>
      </c>
      <c r="C621" t="s">
        <v>204</v>
      </c>
      <c r="D621" t="s">
        <v>94</v>
      </c>
      <c r="E621">
        <v>118387.4</v>
      </c>
      <c r="F621" t="str">
        <f t="shared" si="9"/>
        <v>S1_PRATIQUE FITNESS</v>
      </c>
    </row>
  </sheetData>
  <autoFilter ref="A1:F621" xr:uid="{00000000-0001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Breno Duarte</cp:lastModifiedBy>
  <dcterms:created xsi:type="dcterms:W3CDTF">2024-08-07T17:41:14Z</dcterms:created>
  <dcterms:modified xsi:type="dcterms:W3CDTF">2025-08-25T20:40:26Z</dcterms:modified>
</cp:coreProperties>
</file>